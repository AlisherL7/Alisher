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oadmap" sheetId="2" state="visible" r:id="rId2"/>
    <sheet name="Glossary" sheetId="3" state="visible" r:id="rId3"/>
    <sheet name="Video Library" sheetId="4" state="visible" r:id="rId4"/>
    <sheet name="Practice Log" sheetId="5" state="visible" r:id="rId5"/>
    <sheet name="Company Analysis" sheetId="6" state="visible" r:id="rId6"/>
    <sheet name="Review Calendar" sheetId="7" state="visible" r:id="rId7"/>
    <sheet name="Sources" sheetId="8" state="visible" r:id="rId8"/>
  </sheets>
  <definedNames>
    <definedName name="_xlnm._FilterDatabase" localSheetId="1" hidden="1">'Roadmap'!$A$2:$S$2</definedName>
    <definedName name="_xlnm._FilterDatabase" localSheetId="2" hidden="1">'Glossary'!$A$2:$I$2</definedName>
    <definedName name="_xlnm._FilterDatabase" localSheetId="3" hidden="1">'Video Library'!$A$2:$M$2</definedName>
    <definedName name="_xlnm._FilterDatabase" localSheetId="4" hidden="1">'Practice Log'!$A$2:$L$2</definedName>
    <definedName name="_xlnm._FilterDatabase" localSheetId="5" hidden="1">'Company Analysis'!$A$2:$G$2</definedName>
    <definedName name="_xlnm._FilterDatabase" localSheetId="6" hidden="1">'Review Calendar'!$A$2:$L$2</definedName>
    <definedName name="_xlnm._FilterDatabase" localSheetId="7" hidden="1">'Sources'!$A$2:$G$2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595959"/>
      <sz val="9"/>
    </font>
    <font>
      <name val="Arial"/>
      <i val="1"/>
      <color rgb="00808080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C00000"/>
      <sz val="11"/>
    </font>
    <font>
      <name val="Arial"/>
      <color rgb="00A6A6A6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10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164" fontId="5" fillId="4" borderId="1" applyAlignment="1" pivotButton="0" quotePrefix="0" xfId="0">
      <alignment horizontal="center"/>
    </xf>
    <xf numFmtId="164" fontId="13" fillId="0" borderId="0" pivotButton="0" quotePrefix="0" xfId="0"/>
    <xf numFmtId="0" fontId="13" fillId="0" borderId="0" pivotButton="0" quotePrefix="0" xfId="0"/>
    <xf numFmtId="16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9" fillId="0" borderId="1" pivotButton="0" quotePrefix="0" xfId="0"/>
    <xf numFmtId="165" fontId="11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0" fillId="0" borderId="1" pivotButton="0" quotePrefix="0" xfId="0"/>
    <xf numFmtId="164" fontId="6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5" fillId="0" borderId="1" pivotButton="0" quotePrefix="0" xfId="0"/>
    <xf numFmtId="164" fontId="5" fillId="0" borderId="1" pivotButton="0" quotePrefix="0" xfId="0"/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Курс</author>
  </authors>
  <commentList>
    <comment ref="A16" authorId="0" shapeId="0">
      <text>
        <t>Считается по датам в журнале практики: сколько дней подряд, начиная с последнего занятия, есть запись.</t>
      </text>
    </comment>
  </commentList>
</comments>
</file>

<file path=xl/comments/comment2.xml><?xml version="1.0" encoding="utf-8"?>
<comments xmlns="http://schemas.openxmlformats.org/spreadsheetml/2006/main">
  <authors>
    <author>Курс</author>
  </authors>
  <commentList>
    <comment ref="O3" authorId="0" shapeId="0">
      <text>
        <t>Статус этапа. Dashboard считает прогресс по значению «Завершено».</t>
      </text>
    </comment>
    <comment ref="P3" authorId="0" shapeId="0">
      <text>
        <t>Самооценка 0–5:
0 не знаком · 1 узнаю термин · 2 объясню словами
3 сделаю расчёт · 4 применю к компании · 5 оценю метод критически</t>
      </text>
    </comment>
  </commentList>
</comments>
</file>

<file path=xl/comments/comment3.xml><?xml version="1.0" encoding="utf-8"?>
<comments xmlns="http://schemas.openxmlformats.org/spreadsheetml/2006/main">
  <authors>
    <author>Курс</author>
  </authors>
  <commentList>
    <comment ref="H3" authorId="0" shapeId="0">
      <text>
        <t>Самооценка понимания термина 0–5. Термины с оценкой ниже 3 попадают в план повторения.</t>
      </text>
    </comment>
  </commentList>
</comments>
</file>

<file path=xl/comments/comment4.xml><?xml version="1.0" encoding="utf-8"?>
<comments xmlns="http://schemas.openxmlformats.org/spreadsheetml/2006/main">
  <authors>
    <author>Курс</author>
  </authors>
  <commentList>
    <comment ref="L3" authorId="0" shapeId="0">
      <text>
        <t>Дата проверки поисковой выдачи по названию и автору: 31.08.2026. Прямой доступ к youtube.com из среды подготовки был закрыт, поэтому длительность не заполнена.</t>
      </text>
    </comment>
  </commentList>
</comments>
</file>

<file path=xl/comments/comment5.xml><?xml version="1.0" encoding="utf-8"?>
<comments xmlns="http://schemas.openxmlformats.org/spreadsheetml/2006/main">
  <authors>
    <author>Курс</author>
  </authors>
  <commentList>
    <comment ref="A4" authorId="0" shapeId="0">
      <text>
        <t>Дата занятия. По этим датам Dashboard считает учебные дни и текущую серию.</t>
      </text>
    </comment>
    <comment ref="D4" authorId="0" shapeId="0">
      <text>
        <t>Обязательное поле: источник каждого факта (документ, страница, дата). Анализ без источников — это пересказ.</t>
      </text>
    </comment>
  </commentList>
</comments>
</file>

<file path=xl/comments/comment6.xml><?xml version="1.0" encoding="utf-8"?>
<comments xmlns="http://schemas.openxmlformats.org/spreadsheetml/2006/main">
  <authors>
    <author>Курс</author>
  </authors>
  <commentList>
    <comment ref="F3" authorId="0" shapeId="0">
      <text>
        <t>Главная дисциплина курса: факт / прогноз / допущение / мнение / вывод. Большинство ошибок — прогноз, принятый за факт.</t>
      </text>
    </comment>
  </commentList>
</comments>
</file>

<file path=xl/comments/comment7.xml><?xml version="1.0" encoding="utf-8"?>
<comments xmlns="http://schemas.openxmlformats.org/spreadsheetml/2006/main">
  <authors>
    <author>Курс</author>
  </authors>
  <commentList>
    <comment ref="I3" authorId="0" shapeId="0">
      <text>
        <t>Сколько повторений уже сделано (0–5). Колонка J автоматически покажет дату следующего.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playlist?list=PLSQl0a2vh4HD1g_teRDEUkwMIIFlB8MJv" TargetMode="External" Id="rId1" /><Relationship Type="http://schemas.openxmlformats.org/officeDocument/2006/relationships/hyperlink" Target="https://www.youtube.com/watch?v=Qh-M3_L4xYk" TargetMode="External" Id="rId2" /><Relationship Type="http://schemas.openxmlformats.org/officeDocument/2006/relationships/hyperlink" Target="https://www.youtube.com/watch?v=98qfFzqDKR8" TargetMode="External" Id="rId3" /><Relationship Type="http://schemas.openxmlformats.org/officeDocument/2006/relationships/hyperlink" Target="https://www.youtube.com/channel/UCmLiKX9HVtX2wOR1Xz9gn3A" TargetMode="External" Id="rId4" /><Relationship Type="http://schemas.openxmlformats.org/officeDocument/2006/relationships/hyperlink" Target="https://www.moex.com/msn/learning" TargetMode="External" Id="rId5" /><Relationship Type="http://schemas.openxmlformats.org/officeDocument/2006/relationships/hyperlink" Target="https://www.sec.gov/files/reada10k.pdf" TargetMode="External" Id="rId6" /><Relationship Type="http://schemas.openxmlformats.org/officeDocument/2006/relationships/hyperlink" Target="https://www.youtube.com/watch?v=YEZMReBbkP0" TargetMode="External" Id="rId7" /><Relationship Type="http://schemas.openxmlformats.org/officeDocument/2006/relationships/hyperlink" Target="https://www.youtube.com/watch?v=RouNXdkC0do" TargetMode="External" Id="rId8" /><Relationship Type="http://schemas.openxmlformats.org/officeDocument/2006/relationships/hyperlink" Target="https://www.youtube.com/watch?v=Oh4H3BJX1ZI" TargetMode="External" Id="rId9" /><Relationship Type="http://schemas.openxmlformats.org/officeDocument/2006/relationships/hyperlink" Target="https://www.youtube.com/ThePlainBagel" TargetMode="External" Id="rId10" /><Relationship Type="http://schemas.openxmlformats.org/officeDocument/2006/relationships/hyperlink" Target="https://www.youtube.com/watch?v=c8HdwcRlWZk" TargetMode="External" Id="rId11" /><Relationship Type="http://schemas.openxmlformats.org/officeDocument/2006/relationships/hyperlink" Target="https://www.youtube.com/watch?v=V-rko8jgJ9o" TargetMode="External" Id="rId12" /><Relationship Type="http://schemas.openxmlformats.org/officeDocument/2006/relationships/hyperlink" Target="https://www.youtube.com/playlist?list=PLUl4u3cNGP63B2lDhyKOsImI7FjCf6eDW" TargetMode="External" Id="rId13" /><Relationship Type="http://schemas.openxmlformats.org/officeDocument/2006/relationships/hyperlink" Target="https://www.youtube.com/playlist?list=PLeBox1GIuOW_7LAvk-Iz-Vm5luPJhu6_H" TargetMode="External" Id="rId14" /><Relationship Type="http://schemas.openxmlformats.org/officeDocument/2006/relationships/hyperlink" Target="https://www.sec.gov/edgar/search/" TargetMode="External" Id="rId15" /><Relationship Type="http://schemas.openxmlformats.org/officeDocument/2006/relationships/hyperlink" Target="https://www.sec.gov/files/reada10k.pdf" TargetMode="External" Id="rId16" /><Relationship Type="http://schemas.openxmlformats.org/officeDocument/2006/relationships/hyperlink" Target="https://www.youtube.com/@rationalreminder" TargetMode="External" Id="rId17" /><Relationship Type="http://schemas.openxmlformats.org/officeDocument/2006/relationships/hyperlink" Target="https://www.youtube.com/@rationalreminder" TargetMode="External" Id="rId18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playlist?list=PLSQl0a2vh4HD1g_teRDEUkwMIIFlB8MJv" TargetMode="External" Id="rId1" /><Relationship Type="http://schemas.openxmlformats.org/officeDocument/2006/relationships/hyperlink" Target="https://www.youtube.com/watch?v=98qfFzqDKR8" TargetMode="External" Id="rId2" /><Relationship Type="http://schemas.openxmlformats.org/officeDocument/2006/relationships/hyperlink" Target="https://www.youtube.com/watch?v=Qh-M3_L4xYk" TargetMode="External" Id="rId3" /><Relationship Type="http://schemas.openxmlformats.org/officeDocument/2006/relationships/hyperlink" Target="https://www.youtube.com/watch?v=YEZMReBbkP0" TargetMode="External" Id="rId4" /><Relationship Type="http://schemas.openxmlformats.org/officeDocument/2006/relationships/hyperlink" Target="https://www.youtube.com/channel/UCmLiKX9HVtX2wOR1Xz9gn3A" TargetMode="External" Id="rId5" /><Relationship Type="http://schemas.openxmlformats.org/officeDocument/2006/relationships/hyperlink" Target="https://www.moex.com/msn/learning" TargetMode="External" Id="rId6" /><Relationship Type="http://schemas.openxmlformats.org/officeDocument/2006/relationships/hyperlink" Target="https://www.youtube.com/watch?v=RouNXdkC0do" TargetMode="External" Id="rId7" /><Relationship Type="http://schemas.openxmlformats.org/officeDocument/2006/relationships/hyperlink" Target="https://www.youtube.com/watch?v=Oh4H3BJX1ZI" TargetMode="External" Id="rId8" /><Relationship Type="http://schemas.openxmlformats.org/officeDocument/2006/relationships/hyperlink" Target="https://www.youtube.com/ThePlainBagel" TargetMode="External" Id="rId9" /><Relationship Type="http://schemas.openxmlformats.org/officeDocument/2006/relationships/hyperlink" Target="https://www.youtube.com/watch?v=V-rko8jgJ9o" TargetMode="External" Id="rId10" /><Relationship Type="http://schemas.openxmlformats.org/officeDocument/2006/relationships/hyperlink" Target="https://www.youtube.com/watch?v=c8HdwcRlWZk" TargetMode="External" Id="rId11" /><Relationship Type="http://schemas.openxmlformats.org/officeDocument/2006/relationships/hyperlink" Target="https://www.youtube.com/playlist?list=PLUl4u3cNGP63B2lDhyKOsImI7FjCf6eDW" TargetMode="External" Id="rId12" /><Relationship Type="http://schemas.openxmlformats.org/officeDocument/2006/relationships/hyperlink" Target="https://ocw.mit.edu/courses/15-401-finance-theory-i-fall-2008/" TargetMode="External" Id="rId13" /><Relationship Type="http://schemas.openxmlformats.org/officeDocument/2006/relationships/hyperlink" Target="https://www.youtube.com/channel/UCLvnJL8htRR1T9cbSccaoVw" TargetMode="External" Id="rId14" /><Relationship Type="http://schemas.openxmlformats.org/officeDocument/2006/relationships/hyperlink" Target="https://www.youtube.com/playlist?list=PLeBox1GIuOW_7LAvk-Iz-Vm5luPJhu6_H" TargetMode="External" Id="rId15" /><Relationship Type="http://schemas.openxmlformats.org/officeDocument/2006/relationships/hyperlink" Target="https://www.youtube.com/watch?v=znmQ7oMiQrM" TargetMode="External" Id="rId16" /><Relationship Type="http://schemas.openxmlformats.org/officeDocument/2006/relationships/hyperlink" Target="https://www.sec.gov/files/reada10k.pdf" TargetMode="External" Id="rId17" /><Relationship Type="http://schemas.openxmlformats.org/officeDocument/2006/relationships/hyperlink" Target="https://www.sec.gov/edgar/search/" TargetMode="External" Id="rId18" /><Relationship Type="http://schemas.openxmlformats.org/officeDocument/2006/relationships/hyperlink" Target="https://www.youtube.com/@rationalreminder" TargetMode="External" Id="rId19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sec.gov/edgar/search/" TargetMode="External" Id="rId1" /><Relationship Type="http://schemas.openxmlformats.org/officeDocument/2006/relationships/hyperlink" Target="https://www.sec.gov/files/reada10k.pdf" TargetMode="External" Id="rId2" /><Relationship Type="http://schemas.openxmlformats.org/officeDocument/2006/relationships/hyperlink" Target="https://www.investor.gov/" TargetMode="External" Id="rId3" /><Relationship Type="http://schemas.openxmlformats.org/officeDocument/2006/relationships/hyperlink" Target="https://www.moex.com/msn/learning" TargetMode="External" Id="rId4" /><Relationship Type="http://schemas.openxmlformats.org/officeDocument/2006/relationships/hyperlink" Target="https://school.moex.com/" TargetMode="External" Id="rId5" /><Relationship Type="http://schemas.openxmlformats.org/officeDocument/2006/relationships/hyperlink" Target="https://fincult.info/" TargetMode="External" Id="rId6" /><Relationship Type="http://schemas.openxmlformats.org/officeDocument/2006/relationships/hyperlink" Target="https://pages.stern.nyu.edu/~adamodar/" TargetMode="External" Id="rId7" /><Relationship Type="http://schemas.openxmlformats.org/officeDocument/2006/relationships/hyperlink" Target="https://ocw.mit.edu/courses/15-401-finance-theory-i-fall-2008/" TargetMode="External" Id="rId8" /><Relationship Type="http://schemas.openxmlformats.org/officeDocument/2006/relationships/hyperlink" Target="https://www.investopedia.com/" TargetMode="External" Id="rId9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46" customWidth="1" min="3" max="3"/>
    <col width="12" customWidth="1" min="4" max="4"/>
    <col width="12" customWidth="1" min="5" max="5"/>
    <col width="12" customWidth="1" min="6" max="6"/>
    <col width="14" customWidth="1" min="8" max="8"/>
    <col width="10" customWidth="1" min="9" max="9"/>
  </cols>
  <sheetData>
    <row r="1">
      <c r="A1" s="1" t="inlineStr">
        <is>
          <t>Dashboard / Панель прогресса</t>
        </is>
      </c>
    </row>
    <row r="2">
      <c r="A2" s="2" t="inlineStr">
        <is>
          <t>Легенда: СИНИЙ текст — то, что заполняете вы. ЧЁРНЫЙ — формулы, не редактировать. ЖЁЛТАЯ заливка — ключевое поле. Панель обновляется автоматически после заполнения листов Roadmap, Practice Log, Glossary, Video Library и Review Calendar.</t>
        </is>
      </c>
    </row>
    <row r="4">
      <c r="A4" s="3" t="inlineStr">
        <is>
          <t>ОБЩИЙ ПРОГРЕСС</t>
        </is>
      </c>
      <c r="B4" s="4" t="n"/>
      <c r="C4" s="4" t="n"/>
      <c r="H4" s="2" t="inlineStr">
        <is>
          <t>Служебная таблица (не редактировать)</t>
        </is>
      </c>
    </row>
    <row r="5">
      <c r="A5" s="5" t="inlineStr">
        <is>
          <t>Дата начала обучения</t>
        </is>
      </c>
      <c r="B5" s="6" t="n"/>
      <c r="C5" s="2" t="inlineStr">
        <is>
          <t>← впишите дату, когда начали курс</t>
        </is>
      </c>
      <c r="H5" s="7">
        <f>IFERROR(MAX('Practice Log'!$A$4:$A$200),"")</f>
        <v/>
      </c>
      <c r="I5" s="8">
        <f>IF($H5="",0,IF(COUNTIF('Practice Log'!$A$4:$A$200,$H5)&gt;0,1,0))</f>
        <v/>
      </c>
    </row>
    <row r="6">
      <c r="A6" s="5" t="inlineStr">
        <is>
          <t>Последнее обновление (последняя фактическая дата)</t>
        </is>
      </c>
      <c r="B6" s="9">
        <f>IFERROR(MAX(Roadmap!$N$3:$N$200),"—")</f>
        <v/>
      </c>
      <c r="H6" s="7">
        <f>IF($H5="","",$H5-1)</f>
        <v/>
      </c>
      <c r="I6" s="8">
        <f>IF($H6="",0,IF(COUNTIF('Practice Log'!$A$4:$A$200,$H6)&gt;0,1,0))</f>
        <v/>
      </c>
    </row>
    <row r="7">
      <c r="A7" s="5" t="inlineStr">
        <is>
          <t>Всего этапов в программе</t>
        </is>
      </c>
      <c r="B7" s="10">
        <f>COUNT(Roadmap!$A$3:$A$200)</f>
        <v/>
      </c>
      <c r="H7" s="7">
        <f>IF($H6="","",$H6-1)</f>
        <v/>
      </c>
      <c r="I7" s="8">
        <f>IF($H7="",0,IF(COUNTIF('Practice Log'!$A$4:$A$200,$H7)&gt;0,1,0))</f>
        <v/>
      </c>
    </row>
    <row r="8">
      <c r="A8" s="5" t="inlineStr">
        <is>
          <t>Завершено этапов</t>
        </is>
      </c>
      <c r="B8" s="10">
        <f>COUNTIF(Roadmap!$O$3:$O$200,"Завершено")</f>
        <v/>
      </c>
      <c r="H8" s="7">
        <f>IF($H7="","",$H7-1)</f>
        <v/>
      </c>
      <c r="I8" s="8">
        <f>IF($H8="",0,IF(COUNTIF('Practice Log'!$A$4:$A$200,$H8)&gt;0,1,0))</f>
        <v/>
      </c>
    </row>
    <row r="9">
      <c r="A9" s="5" t="inlineStr">
        <is>
          <t>В процессе</t>
        </is>
      </c>
      <c r="B9" s="10">
        <f>COUNTIF(Roadmap!$O$3:$O$200,"В процессе")</f>
        <v/>
      </c>
      <c r="H9" s="7">
        <f>IF($H8="","",$H8-1)</f>
        <v/>
      </c>
      <c r="I9" s="8">
        <f>IF($H9="",0,IF(COUNTIF('Practice Log'!$A$4:$A$200,$H9)&gt;0,1,0))</f>
        <v/>
      </c>
    </row>
    <row r="10">
      <c r="A10" s="5" t="inlineStr">
        <is>
          <t>Запланировано (не начато)</t>
        </is>
      </c>
      <c r="B10" s="10">
        <f>COUNTIF(Roadmap!$O$3:$O$200,"Не начато")</f>
        <v/>
      </c>
      <c r="H10" s="7">
        <f>IF($H9="","",$H9-1)</f>
        <v/>
      </c>
      <c r="I10" s="8">
        <f>IF($H10="",0,IF(COUNTIF('Practice Log'!$A$4:$A$200,$H10)&gt;0,1,0))</f>
        <v/>
      </c>
    </row>
    <row r="11">
      <c r="A11" s="5" t="inlineStr">
        <is>
          <t>Требуют повторения</t>
        </is>
      </c>
      <c r="B11" s="10">
        <f>COUNTIF(Roadmap!$O$3:$O$200,"Повторить")</f>
        <v/>
      </c>
      <c r="H11" s="7">
        <f>IF($H10="","",$H10-1)</f>
        <v/>
      </c>
      <c r="I11" s="8">
        <f>IF($H11="",0,IF(COUNTIF('Practice Log'!$A$4:$A$200,$H11)&gt;0,1,0))</f>
        <v/>
      </c>
    </row>
    <row r="12">
      <c r="A12" s="11" t="inlineStr">
        <is>
          <t>ОБЩИЙ ПРОЦЕНТ ПРОХОЖДЕНИЯ</t>
        </is>
      </c>
      <c r="B12" s="12">
        <f>IFERROR($B$8/$B$7,0)</f>
        <v/>
      </c>
      <c r="H12" s="7">
        <f>IF($H11="","",$H11-1)</f>
        <v/>
      </c>
      <c r="I12" s="8">
        <f>IF($H12="",0,IF(COUNTIF('Practice Log'!$A$4:$A$200,$H12)&gt;0,1,0))</f>
        <v/>
      </c>
    </row>
    <row r="13">
      <c r="A13" s="5" t="inlineStr">
        <is>
          <t>Записей в журнале практики</t>
        </is>
      </c>
      <c r="B13" s="10">
        <f>COUNT('Practice Log'!$A$4:$A$200)</f>
        <v/>
      </c>
      <c r="H13" s="7">
        <f>IF($H12="","",$H12-1)</f>
        <v/>
      </c>
      <c r="I13" s="8">
        <f>IF($H13="",0,IF(COUNTIF('Practice Log'!$A$4:$A$200,$H13)&gt;0,1,0))</f>
        <v/>
      </c>
    </row>
    <row r="14">
      <c r="A14" s="5" t="inlineStr">
        <is>
          <t>Средний балл (самооценка и тесты, 0–5)</t>
        </is>
      </c>
      <c r="B14" s="13">
        <f>IFERROR(AVERAGE(Roadmap!$P$3:$P$200),0)</f>
        <v/>
      </c>
      <c r="H14" s="7">
        <f>IF($H13="","",$H13-1)</f>
        <v/>
      </c>
      <c r="I14" s="8">
        <f>IF($H14="",0,IF(COUNTIF('Practice Log'!$A$4:$A$200,$H14)&gt;0,1,0))</f>
        <v/>
      </c>
    </row>
    <row r="15">
      <c r="A15" s="5" t="inlineStr">
        <is>
          <t>Часов обучения (всего)</t>
        </is>
      </c>
      <c r="B15" s="13">
        <f>SUM(Roadmap!$Q$3:$Q$200)</f>
        <v/>
      </c>
      <c r="H15" s="7">
        <f>IF($H14="","",$H14-1)</f>
        <v/>
      </c>
      <c r="I15" s="8">
        <f>IF($H15="",0,IF(COUNTIF('Practice Log'!$A$4:$A$200,$H15)&gt;0,1,0))</f>
        <v/>
      </c>
    </row>
    <row r="16">
      <c r="A16" s="5" t="inlineStr">
        <is>
          <t>Текущая серия учебных дней подряд</t>
        </is>
      </c>
      <c r="B16" s="10">
        <f>IFERROR(MATCH(0,$I$5:$I$64,0)-1,60)</f>
        <v/>
      </c>
      <c r="H16" s="7">
        <f>IF($H15="","",$H15-1)</f>
        <v/>
      </c>
      <c r="I16" s="8">
        <f>IF($H16="",0,IF(COUNTIF('Practice Log'!$A$4:$A$200,$H16)&gt;0,1,0))</f>
        <v/>
      </c>
    </row>
    <row r="17">
      <c r="A17" s="5" t="inlineStr">
        <is>
          <t>Дней с последнего занятия</t>
        </is>
      </c>
      <c r="B17" s="14">
        <f>IF(COUNT('Practice Log'!$A$4:$A$200)=0,"—",TODAY()-MAX('Practice Log'!$A$4:$A$200))</f>
        <v/>
      </c>
      <c r="H17" s="7">
        <f>IF($H16="","",$H16-1)</f>
        <v/>
      </c>
      <c r="I17" s="8">
        <f>IF($H17="",0,IF(COUNTIF('Practice Log'!$A$4:$A$200,$H17)&gt;0,1,0))</f>
        <v/>
      </c>
    </row>
    <row r="18">
      <c r="A18" s="5" t="inlineStr">
        <is>
          <t>Терминов освоено (оценка 4–5)</t>
        </is>
      </c>
      <c r="B18" s="10">
        <f>COUNTIF(Glossary!$H$3:$H$200,"&gt;=4")</f>
        <v/>
      </c>
      <c r="C18" s="2" t="inlineStr">
        <is>
          <t>из общего числа терминов в словаре</t>
        </is>
      </c>
      <c r="H18" s="7">
        <f>IF($H17="","",$H17-1)</f>
        <v/>
      </c>
      <c r="I18" s="8">
        <f>IF($H18="",0,IF(COUNTIF('Practice Log'!$A$4:$A$200,$H18)&gt;0,1,0))</f>
        <v/>
      </c>
    </row>
    <row r="19">
      <c r="A19" s="5" t="inlineStr">
        <is>
          <t>Всего терминов в словаре</t>
        </is>
      </c>
      <c r="B19" s="10">
        <f>COUNTA(Glossary!$A$3:$A$200)</f>
        <v/>
      </c>
      <c r="H19" s="7">
        <f>IF($H18="","",$H18-1)</f>
        <v/>
      </c>
      <c r="I19" s="8">
        <f>IF($H19="",0,IF(COUNTIF('Practice Log'!$A$4:$A$200,$H19)&gt;0,1,0))</f>
        <v/>
      </c>
    </row>
    <row r="20">
      <c r="A20" s="5" t="inlineStr">
        <is>
          <t>Видео и материалов просмотрено</t>
        </is>
      </c>
      <c r="B20" s="10">
        <f>COUNTIF('Video Library'!$K$3:$K$100,"Просмотрено")</f>
        <v/>
      </c>
      <c r="H20" s="7">
        <f>IF($H19="","",$H19-1)</f>
        <v/>
      </c>
      <c r="I20" s="8">
        <f>IF($H20="",0,IF(COUNTIF('Practice Log'!$A$4:$A$200,$H20)&gt;0,1,0))</f>
        <v/>
      </c>
    </row>
    <row r="21">
      <c r="A21" s="5" t="inlineStr">
        <is>
          <t>Тем к повторению СЕГОДНЯ</t>
        </is>
      </c>
      <c r="B21" s="15">
        <f>COUNTIF('Review Calendar'!$K$3:$K$200,"Повторить сегодня")</f>
        <v/>
      </c>
      <c r="H21" s="7">
        <f>IF($H20="","",$H20-1)</f>
        <v/>
      </c>
      <c r="I21" s="8">
        <f>IF($H21="",0,IF(COUNTIF('Practice Log'!$A$4:$A$200,$H21)&gt;0,1,0))</f>
        <v/>
      </c>
    </row>
    <row r="22">
      <c r="H22" s="7">
        <f>IF($H21="","",$H21-1)</f>
        <v/>
      </c>
      <c r="I22" s="8">
        <f>IF($H22="",0,IF(COUNTIF('Practice Log'!$A$4:$A$200,$H22)&gt;0,1,0))</f>
        <v/>
      </c>
    </row>
    <row r="23">
      <c r="A23" s="3" t="inlineStr">
        <is>
          <t>РЕКОМЕНДУЕМЫЙ СЛЕДУЮЩИЙ ШАГ</t>
        </is>
      </c>
      <c r="B23" s="4" t="n"/>
      <c r="C23" s="4" t="n"/>
      <c r="H23" s="7">
        <f>IF($H22="","",$H22-1)</f>
        <v/>
      </c>
      <c r="I23" s="8">
        <f>IF($H23="",0,IF(COUNTIF('Practice Log'!$A$4:$A$200,$H23)&gt;0,1,0))</f>
        <v/>
      </c>
    </row>
    <row r="24">
      <c r="A24" s="5" t="inlineStr">
        <is>
          <t>Уровень</t>
        </is>
      </c>
      <c r="B24" s="16">
        <f>IFERROR(INDEX(Roadmap!$B$3:$B$200,MATCH("В процессе",Roadmap!$O$3:$O$200,0)),IFERROR(INDEX(Roadmap!$B$3:$B$200,MATCH("Не начато",Roadmap!$O$3:$O$200,0)),""))</f>
        <v/>
      </c>
      <c r="C24" s="17" t="n"/>
      <c r="H24" s="7">
        <f>IF($H23="","",$H23-1)</f>
        <v/>
      </c>
      <c r="I24" s="8">
        <f>IF($H24="",0,IF(COUNTIF('Practice Log'!$A$4:$A$200,$H24)&gt;0,1,0))</f>
        <v/>
      </c>
    </row>
    <row r="25">
      <c r="A25" s="5" t="inlineStr">
        <is>
          <t>Модуль</t>
        </is>
      </c>
      <c r="B25" s="16">
        <f>IFERROR(INDEX(Roadmap!$C$3:$C$200,MATCH("В процессе",Roadmap!$O$3:$O$200,0)),IFERROR(INDEX(Roadmap!$C$3:$C$200,MATCH("Не начато",Roadmap!$O$3:$O$200,0)),"Все этапы завершены — переходите к самостоятельным разборам"))</f>
        <v/>
      </c>
      <c r="C25" s="17" t="n"/>
      <c r="H25" s="7">
        <f>IF($H24="","",$H24-1)</f>
        <v/>
      </c>
      <c r="I25" s="8">
        <f>IF($H25="",0,IF(COUNTIF('Practice Log'!$A$4:$A$200,$H25)&gt;0,1,0))</f>
        <v/>
      </c>
    </row>
    <row r="26">
      <c r="A26" s="5" t="inlineStr">
        <is>
          <t>Задание</t>
        </is>
      </c>
      <c r="B26" s="16">
        <f>IFERROR(INDEX(Roadmap!$K$3:$K$200,MATCH("В процессе",Roadmap!$O$3:$O$200,0)),IFERROR(INDEX(Roadmap!$K$3:$K$200,MATCH("Не начато",Roadmap!$O$3:$O$200,0)),""))</f>
        <v/>
      </c>
      <c r="C26" s="17" t="n"/>
      <c r="H26" s="7">
        <f>IF($H25="","",$H25-1)</f>
        <v/>
      </c>
      <c r="I26" s="8">
        <f>IF($H26="",0,IF(COUNTIF('Practice Log'!$A$4:$A$200,$H26)&gt;0,1,0))</f>
        <v/>
      </c>
    </row>
    <row r="27">
      <c r="A27" s="5" t="inlineStr">
        <is>
          <t>Плановая дата</t>
        </is>
      </c>
      <c r="B27" s="18">
        <f>IFERROR(INDEX(Roadmap!$M$3:$M$200,MATCH("В процессе",Roadmap!$O$3:$O$200,0)),IFERROR(INDEX(Roadmap!$M$3:$M$200,MATCH("Не начато",Roadmap!$O$3:$O$200,0)),""))</f>
        <v/>
      </c>
      <c r="C27" s="17" t="n"/>
      <c r="H27" s="7">
        <f>IF($H26="","",$H26-1)</f>
        <v/>
      </c>
      <c r="I27" s="8">
        <f>IF($H27="",0,IF(COUNTIF('Practice Log'!$A$4:$A$200,$H27)&gt;0,1,0))</f>
        <v/>
      </c>
    </row>
    <row r="28">
      <c r="H28" s="7">
        <f>IF($H27="","",$H27-1)</f>
        <v/>
      </c>
      <c r="I28" s="8">
        <f>IF($H28="",0,IF(COUNTIF('Practice Log'!$A$4:$A$200,$H28)&gt;0,1,0))</f>
        <v/>
      </c>
    </row>
    <row r="29">
      <c r="A29" s="3" t="inlineStr">
        <is>
          <t>ПРОГРЕСС ПО УРОВНЯМ</t>
        </is>
      </c>
      <c r="B29" s="4" t="n"/>
      <c r="C29" s="4" t="n"/>
      <c r="H29" s="7">
        <f>IF($H28="","",$H28-1)</f>
        <v/>
      </c>
      <c r="I29" s="8">
        <f>IF($H29="",0,IF(COUNTIF('Practice Log'!$A$4:$A$200,$H29)&gt;0,1,0))</f>
        <v/>
      </c>
    </row>
    <row r="30">
      <c r="A30" s="19" t="inlineStr">
        <is>
          <t>Уровень</t>
        </is>
      </c>
      <c r="B30" s="19" t="inlineStr">
        <is>
          <t>Название уровня</t>
        </is>
      </c>
      <c r="C30" s="19" t="inlineStr">
        <is>
          <t>Этапов</t>
        </is>
      </c>
      <c r="D30" s="19" t="inlineStr">
        <is>
          <t>Завершено</t>
        </is>
      </c>
      <c r="E30" s="19" t="inlineStr">
        <is>
          <t>Прогресс</t>
        </is>
      </c>
      <c r="F30" s="19" t="inlineStr">
        <is>
          <t>Средний балл</t>
        </is>
      </c>
      <c r="H30" s="7">
        <f>IF($H29="","",$H29-1)</f>
        <v/>
      </c>
      <c r="I30" s="8">
        <f>IF($H30="",0,IF(COUNTIF('Practice Log'!$A$4:$A$200,$H30)&gt;0,1,0))</f>
        <v/>
      </c>
    </row>
    <row r="31">
      <c r="A31" s="20" t="n">
        <v>0</v>
      </c>
      <c r="B31" s="5" t="inlineStr">
        <is>
          <t>Подготовка и базовая финансовая грамотность</t>
        </is>
      </c>
      <c r="C31" s="10">
        <f>COUNTIF(Roadmap!$B$3:$B$200,$A31)</f>
        <v/>
      </c>
      <c r="D31" s="10">
        <f>COUNTIFS(Roadmap!$B$3:$B$200,$A31,Roadmap!$O$3:$O$200,"Завершено")</f>
        <v/>
      </c>
      <c r="E31" s="21">
        <f>IFERROR($D31/$C31,0)</f>
        <v/>
      </c>
      <c r="F31" s="13">
        <f>IFERROR(AVERAGEIF(Roadmap!$B$3:$B$200,$A31,Roadmap!$P$3:$P$200),0)</f>
        <v/>
      </c>
      <c r="H31" s="7">
        <f>IF($H30="","",$H30-1)</f>
        <v/>
      </c>
      <c r="I31" s="8">
        <f>IF($H31="",0,IF(COUNTIF('Practice Log'!$A$4:$A$200,$H31)&gt;0,1,0))</f>
        <v/>
      </c>
    </row>
    <row r="32">
      <c r="A32" s="20" t="n">
        <v>1</v>
      </c>
      <c r="B32" s="5" t="inlineStr">
        <is>
          <t>Как работает фондовый рынок</t>
        </is>
      </c>
      <c r="C32" s="10">
        <f>COUNTIF(Roadmap!$B$3:$B$200,$A32)</f>
        <v/>
      </c>
      <c r="D32" s="10">
        <f>COUNTIFS(Roadmap!$B$3:$B$200,$A32,Roadmap!$O$3:$O$200,"Завершено")</f>
        <v/>
      </c>
      <c r="E32" s="21">
        <f>IFERROR($D32/$C32,0)</f>
        <v/>
      </c>
      <c r="F32" s="13">
        <f>IFERROR(AVERAGEIF(Roadmap!$B$3:$B$200,$A32,Roadmap!$P$3:$P$200),0)</f>
        <v/>
      </c>
      <c r="H32" s="7">
        <f>IF($H31="","",$H31-1)</f>
        <v/>
      </c>
      <c r="I32" s="8">
        <f>IF($H32="",0,IF(COUNTIF('Practice Log'!$A$4:$A$200,$H32)&gt;0,1,0))</f>
        <v/>
      </c>
    </row>
    <row r="33">
      <c r="A33" s="20" t="n">
        <v>2</v>
      </c>
      <c r="B33" s="5" t="inlineStr">
        <is>
          <t>Бухгалтерский и финансовый фундамент</t>
        </is>
      </c>
      <c r="C33" s="10">
        <f>COUNTIF(Roadmap!$B$3:$B$200,$A33)</f>
        <v/>
      </c>
      <c r="D33" s="10">
        <f>COUNTIFS(Roadmap!$B$3:$B$200,$A33,Roadmap!$O$3:$O$200,"Завершено")</f>
        <v/>
      </c>
      <c r="E33" s="21">
        <f>IFERROR($D33/$C33,0)</f>
        <v/>
      </c>
      <c r="F33" s="13">
        <f>IFERROR(AVERAGEIF(Roadmap!$B$3:$B$200,$A33,Roadmap!$P$3:$P$200),0)</f>
        <v/>
      </c>
      <c r="H33" s="7">
        <f>IF($H32="","",$H32-1)</f>
        <v/>
      </c>
      <c r="I33" s="8">
        <f>IF($H33="",0,IF(COUNTIF('Practice Log'!$A$4:$A$200,$H33)&gt;0,1,0))</f>
        <v/>
      </c>
    </row>
    <row r="34">
      <c r="A34" s="20" t="n">
        <v>3</v>
      </c>
      <c r="B34" s="5" t="inlineStr">
        <is>
          <t>Основные финансовые показатели</t>
        </is>
      </c>
      <c r="C34" s="10">
        <f>COUNTIF(Roadmap!$B$3:$B$200,$A34)</f>
        <v/>
      </c>
      <c r="D34" s="10">
        <f>COUNTIFS(Roadmap!$B$3:$B$200,$A34,Roadmap!$O$3:$O$200,"Завершено")</f>
        <v/>
      </c>
      <c r="E34" s="21">
        <f>IFERROR($D34/$C34,0)</f>
        <v/>
      </c>
      <c r="F34" s="13">
        <f>IFERROR(AVERAGEIF(Roadmap!$B$3:$B$200,$A34,Roadmap!$P$3:$P$200),0)</f>
        <v/>
      </c>
      <c r="H34" s="7">
        <f>IF($H33="","",$H33-1)</f>
        <v/>
      </c>
      <c r="I34" s="8">
        <f>IF($H34="",0,IF(COUNTIF('Practice Log'!$A$4:$A$200,$H34)&gt;0,1,0))</f>
        <v/>
      </c>
    </row>
    <row r="35">
      <c r="A35" s="20" t="n">
        <v>4</v>
      </c>
      <c r="B35" s="5" t="inlineStr">
        <is>
          <t>Анализ качества бизнеса</t>
        </is>
      </c>
      <c r="C35" s="10">
        <f>COUNTIF(Roadmap!$B$3:$B$200,$A35)</f>
        <v/>
      </c>
      <c r="D35" s="10">
        <f>COUNTIFS(Roadmap!$B$3:$B$200,$A35,Roadmap!$O$3:$O$200,"Завершено")</f>
        <v/>
      </c>
      <c r="E35" s="21">
        <f>IFERROR($D35/$C35,0)</f>
        <v/>
      </c>
      <c r="F35" s="13">
        <f>IFERROR(AVERAGEIF(Roadmap!$B$3:$B$200,$A35,Roadmap!$P$3:$P$200),0)</f>
        <v/>
      </c>
      <c r="H35" s="7">
        <f>IF($H34="","",$H34-1)</f>
        <v/>
      </c>
      <c r="I35" s="8">
        <f>IF($H35="",0,IF(COUNTIF('Practice Log'!$A$4:$A$200,$H35)&gt;0,1,0))</f>
        <v/>
      </c>
    </row>
    <row r="36">
      <c r="A36" s="20" t="n">
        <v>5</v>
      </c>
      <c r="B36" s="5" t="inlineStr">
        <is>
          <t>Анализ отрасли и конкурентов</t>
        </is>
      </c>
      <c r="C36" s="10">
        <f>COUNTIF(Roadmap!$B$3:$B$200,$A36)</f>
        <v/>
      </c>
      <c r="D36" s="10">
        <f>COUNTIFS(Roadmap!$B$3:$B$200,$A36,Roadmap!$O$3:$O$200,"Завершено")</f>
        <v/>
      </c>
      <c r="E36" s="21">
        <f>IFERROR($D36/$C36,0)</f>
        <v/>
      </c>
      <c r="F36" s="13">
        <f>IFERROR(AVERAGEIF(Roadmap!$B$3:$B$200,$A36,Roadmap!$P$3:$P$200),0)</f>
        <v/>
      </c>
      <c r="H36" s="7">
        <f>IF($H35="","",$H35-1)</f>
        <v/>
      </c>
      <c r="I36" s="8">
        <f>IF($H36="",0,IF(COUNTIF('Practice Log'!$A$4:$A$200,$H36)&gt;0,1,0))</f>
        <v/>
      </c>
    </row>
    <row r="37">
      <c r="A37" s="20" t="n">
        <v>6</v>
      </c>
      <c r="B37" s="5" t="inlineStr">
        <is>
          <t>Мультипликаторы и относительная оценка</t>
        </is>
      </c>
      <c r="C37" s="10">
        <f>COUNTIF(Roadmap!$B$3:$B$200,$A37)</f>
        <v/>
      </c>
      <c r="D37" s="10">
        <f>COUNTIFS(Roadmap!$B$3:$B$200,$A37,Roadmap!$O$3:$O$200,"Завершено")</f>
        <v/>
      </c>
      <c r="E37" s="21">
        <f>IFERROR($D37/$C37,0)</f>
        <v/>
      </c>
      <c r="F37" s="13">
        <f>IFERROR(AVERAGEIF(Roadmap!$B$3:$B$200,$A37,Roadmap!$P$3:$P$200),0)</f>
        <v/>
      </c>
      <c r="H37" s="7">
        <f>IF($H36="","",$H36-1)</f>
        <v/>
      </c>
      <c r="I37" s="8">
        <f>IF($H37="",0,IF(COUNTIF('Practice Log'!$A$4:$A$200,$H37)&gt;0,1,0))</f>
        <v/>
      </c>
    </row>
    <row r="38">
      <c r="A38" s="20" t="n">
        <v>7</v>
      </c>
      <c r="B38" s="5" t="inlineStr">
        <is>
          <t>Оценка внутренней стоимости</t>
        </is>
      </c>
      <c r="C38" s="10">
        <f>COUNTIF(Roadmap!$B$3:$B$200,$A38)</f>
        <v/>
      </c>
      <c r="D38" s="10">
        <f>COUNTIFS(Roadmap!$B$3:$B$200,$A38,Roadmap!$O$3:$O$200,"Завершено")</f>
        <v/>
      </c>
      <c r="E38" s="21">
        <f>IFERROR($D38/$C38,0)</f>
        <v/>
      </c>
      <c r="F38" s="13">
        <f>IFERROR(AVERAGEIF(Roadmap!$B$3:$B$200,$A38,Roadmap!$P$3:$P$200),0)</f>
        <v/>
      </c>
      <c r="H38" s="7">
        <f>IF($H37="","",$H37-1)</f>
        <v/>
      </c>
      <c r="I38" s="8">
        <f>IF($H38="",0,IF(COUNTIF('Practice Log'!$A$4:$A$200,$H38)&gt;0,1,0))</f>
        <v/>
      </c>
    </row>
    <row r="39">
      <c r="A39" s="20" t="n">
        <v>8</v>
      </c>
      <c r="B39" s="5" t="inlineStr">
        <is>
          <t>Чтение отчётности и первичных документов</t>
        </is>
      </c>
      <c r="C39" s="10">
        <f>COUNTIF(Roadmap!$B$3:$B$200,$A39)</f>
        <v/>
      </c>
      <c r="D39" s="10">
        <f>COUNTIFS(Roadmap!$B$3:$B$200,$A39,Roadmap!$O$3:$O$200,"Завершено")</f>
        <v/>
      </c>
      <c r="E39" s="21">
        <f>IFERROR($D39/$C39,0)</f>
        <v/>
      </c>
      <c r="F39" s="13">
        <f>IFERROR(AVERAGEIF(Roadmap!$B$3:$B$200,$A39,Roadmap!$P$3:$P$200),0)</f>
        <v/>
      </c>
      <c r="H39" s="7">
        <f>IF($H38="","",$H38-1)</f>
        <v/>
      </c>
      <c r="I39" s="8">
        <f>IF($H39="",0,IF(COUNTIF('Practice Log'!$A$4:$A$200,$H39)&gt;0,1,0))</f>
        <v/>
      </c>
    </row>
    <row r="40">
      <c r="A40" s="20" t="n">
        <v>9</v>
      </c>
      <c r="B40" s="5" t="inlineStr">
        <is>
          <t>Риски и медвежий сценарий</t>
        </is>
      </c>
      <c r="C40" s="10">
        <f>COUNTIF(Roadmap!$B$3:$B$200,$A40)</f>
        <v/>
      </c>
      <c r="D40" s="10">
        <f>COUNTIFS(Roadmap!$B$3:$B$200,$A40,Roadmap!$O$3:$O$200,"Завершено")</f>
        <v/>
      </c>
      <c r="E40" s="21">
        <f>IFERROR($D40/$C40,0)</f>
        <v/>
      </c>
      <c r="F40" s="13">
        <f>IFERROR(AVERAGEIF(Roadmap!$B$3:$B$200,$A40,Roadmap!$P$3:$P$200),0)</f>
        <v/>
      </c>
      <c r="H40" s="7">
        <f>IF($H39="","",$H39-1)</f>
        <v/>
      </c>
      <c r="I40" s="8">
        <f>IF($H40="",0,IF(COUNTIF('Practice Log'!$A$4:$A$200,$H40)&gt;0,1,0))</f>
        <v/>
      </c>
    </row>
    <row r="41">
      <c r="A41" s="20" t="n">
        <v>10</v>
      </c>
      <c r="B41" s="5" t="inlineStr">
        <is>
          <t>Портфель, риск и поведение инвестора</t>
        </is>
      </c>
      <c r="C41" s="10">
        <f>COUNTIF(Roadmap!$B$3:$B$200,$A41)</f>
        <v/>
      </c>
      <c r="D41" s="10">
        <f>COUNTIFS(Roadmap!$B$3:$B$200,$A41,Roadmap!$O$3:$O$200,"Завершено")</f>
        <v/>
      </c>
      <c r="E41" s="21">
        <f>IFERROR($D41/$C41,0)</f>
        <v/>
      </c>
      <c r="F41" s="13">
        <f>IFERROR(AVERAGEIF(Roadmap!$B$3:$B$200,$A41,Roadmap!$P$3:$P$200),0)</f>
        <v/>
      </c>
      <c r="H41" s="7">
        <f>IF($H40="","",$H40-1)</f>
        <v/>
      </c>
      <c r="I41" s="8">
        <f>IF($H41="",0,IF(COUNTIF('Practice Log'!$A$4:$A$200,$H41)&gt;0,1,0))</f>
        <v/>
      </c>
    </row>
    <row r="42">
      <c r="A42" s="20" t="n">
        <v>11</v>
      </c>
      <c r="B42" s="5" t="inlineStr">
        <is>
          <t>Технический анализ</t>
        </is>
      </c>
      <c r="C42" s="10">
        <f>COUNTIF(Roadmap!$B$3:$B$200,$A42)</f>
        <v/>
      </c>
      <c r="D42" s="10">
        <f>COUNTIFS(Roadmap!$B$3:$B$200,$A42,Roadmap!$O$3:$O$200,"Завершено")</f>
        <v/>
      </c>
      <c r="E42" s="21">
        <f>IFERROR($D42/$C42,0)</f>
        <v/>
      </c>
      <c r="F42" s="13">
        <f>IFERROR(AVERAGEIF(Roadmap!$B$3:$B$200,$A42,Roadmap!$P$3:$P$200),0)</f>
        <v/>
      </c>
      <c r="H42" s="7">
        <f>IF($H41="","",$H41-1)</f>
        <v/>
      </c>
      <c r="I42" s="8">
        <f>IF($H42="",0,IF(COUNTIF('Practice Log'!$A$4:$A$200,$H42)&gt;0,1,0))</f>
        <v/>
      </c>
    </row>
    <row r="43">
      <c r="A43" s="20" t="n">
        <v>12</v>
      </c>
      <c r="B43" s="5" t="inlineStr">
        <is>
          <t>Продвинутый практический анализ</t>
        </is>
      </c>
      <c r="C43" s="10">
        <f>COUNTIF(Roadmap!$B$3:$B$200,$A43)</f>
        <v/>
      </c>
      <c r="D43" s="10">
        <f>COUNTIFS(Roadmap!$B$3:$B$200,$A43,Roadmap!$O$3:$O$200,"Завершено")</f>
        <v/>
      </c>
      <c r="E43" s="21">
        <f>IFERROR($D43/$C43,0)</f>
        <v/>
      </c>
      <c r="F43" s="13">
        <f>IFERROR(AVERAGEIF(Roadmap!$B$3:$B$200,$A43,Roadmap!$P$3:$P$200),0)</f>
        <v/>
      </c>
      <c r="H43" s="7">
        <f>IF($H42="","",$H42-1)</f>
        <v/>
      </c>
      <c r="I43" s="8">
        <f>IF($H43="",0,IF(COUNTIF('Practice Log'!$A$4:$A$200,$H43)&gt;0,1,0))</f>
        <v/>
      </c>
    </row>
    <row r="44">
      <c r="H44" s="7">
        <f>IF($H43="","",$H43-1)</f>
        <v/>
      </c>
      <c r="I44" s="8">
        <f>IF($H44="",0,IF(COUNTIF('Practice Log'!$A$4:$A$200,$H44)&gt;0,1,0))</f>
        <v/>
      </c>
    </row>
    <row r="45">
      <c r="A45" s="3" t="inlineStr">
        <is>
          <t>ПРАВИЛА КУРСА</t>
        </is>
      </c>
      <c r="B45" s="4" t="n"/>
      <c r="C45" s="4" t="n"/>
      <c r="H45" s="7">
        <f>IF($H44="","",$H44-1)</f>
        <v/>
      </c>
      <c r="I45" s="8">
        <f>IF($H45="",0,IF(COUNTIF('Practice Log'!$A$4:$A$200,$H45)&gt;0,1,0))</f>
        <v/>
      </c>
    </row>
    <row r="46">
      <c r="A46" s="22" t="inlineStr">
        <is>
          <t>1. Не переходить на следующий уровень, пока средний балл текущего ниже 3.</t>
        </is>
      </c>
      <c r="H46" s="7">
        <f>IF($H45="","",$H45-1)</f>
        <v/>
      </c>
      <c r="I46" s="8">
        <f>IF($H46="",0,IF(COUNTIF('Practice Log'!$A$4:$A$200,$H46)&gt;0,1,0))</f>
        <v/>
      </c>
    </row>
    <row r="47">
      <c r="A47" s="22" t="inlineStr">
        <is>
          <t>2. Каждое число в анализе — со ссылкой на источник и страницу отчёта.</t>
        </is>
      </c>
      <c r="H47" s="7">
        <f>IF($H46="","",$H46-1)</f>
        <v/>
      </c>
      <c r="I47" s="8">
        <f>IF($H47="",0,IF(COUNTIF('Practice Log'!$A$4:$A$200,$H47)&gt;0,1,0))</f>
        <v/>
      </c>
    </row>
    <row r="48">
      <c r="A48" s="22" t="inlineStr">
        <is>
          <t>3. Всегда помечать: факт / прогноз / допущение / мнение / вывод.</t>
        </is>
      </c>
      <c r="H48" s="7">
        <f>IF($H47="","",$H47-1)</f>
        <v/>
      </c>
      <c r="I48" s="8">
        <f>IF($H48="",0,IF(COUNTIF('Practice Log'!$A$4:$A$200,$H48)&gt;0,1,0))</f>
        <v/>
      </c>
    </row>
    <row r="49">
      <c r="A49" s="22" t="inlineStr">
        <is>
          <t>4. Перед выводом писать медвежий сценарий и условия опровержения тезиса.</t>
        </is>
      </c>
      <c r="H49" s="7">
        <f>IF($H48="","",$H48-1)</f>
        <v/>
      </c>
      <c r="I49" s="8">
        <f>IF($H49="",0,IF(COUNTIF('Practice Log'!$A$4:$A$200,$H49)&gt;0,1,0))</f>
        <v/>
      </c>
    </row>
    <row r="50">
      <c r="A50" s="22" t="inlineStr">
        <is>
          <t>5. Материал носит образовательный характер и не является инвестиционной рекомендацией.</t>
        </is>
      </c>
      <c r="H50" s="7">
        <f>IF($H49="","",$H49-1)</f>
        <v/>
      </c>
      <c r="I50" s="8">
        <f>IF($H50="",0,IF(COUNTIF('Practice Log'!$A$4:$A$200,$H50)&gt;0,1,0))</f>
        <v/>
      </c>
    </row>
    <row r="51">
      <c r="H51" s="7">
        <f>IF($H50="","",$H50-1)</f>
        <v/>
      </c>
      <c r="I51" s="8">
        <f>IF($H51="",0,IF(COUNTIF('Practice Log'!$A$4:$A$200,$H51)&gt;0,1,0))</f>
        <v/>
      </c>
    </row>
    <row r="52">
      <c r="H52" s="7">
        <f>IF($H51="","",$H51-1)</f>
        <v/>
      </c>
      <c r="I52" s="8">
        <f>IF($H52="",0,IF(COUNTIF('Practice Log'!$A$4:$A$200,$H52)&gt;0,1,0))</f>
        <v/>
      </c>
    </row>
    <row r="53">
      <c r="H53" s="7">
        <f>IF($H52="","",$H52-1)</f>
        <v/>
      </c>
      <c r="I53" s="8">
        <f>IF($H53="",0,IF(COUNTIF('Practice Log'!$A$4:$A$200,$H53)&gt;0,1,0))</f>
        <v/>
      </c>
    </row>
    <row r="54">
      <c r="H54" s="7">
        <f>IF($H53="","",$H53-1)</f>
        <v/>
      </c>
      <c r="I54" s="8">
        <f>IF($H54="",0,IF(COUNTIF('Practice Log'!$A$4:$A$200,$H54)&gt;0,1,0))</f>
        <v/>
      </c>
    </row>
    <row r="55">
      <c r="H55" s="7">
        <f>IF($H54="","",$H54-1)</f>
        <v/>
      </c>
      <c r="I55" s="8">
        <f>IF($H55="",0,IF(COUNTIF('Practice Log'!$A$4:$A$200,$H55)&gt;0,1,0))</f>
        <v/>
      </c>
    </row>
    <row r="56">
      <c r="H56" s="7">
        <f>IF($H55="","",$H55-1)</f>
        <v/>
      </c>
      <c r="I56" s="8">
        <f>IF($H56="",0,IF(COUNTIF('Practice Log'!$A$4:$A$200,$H56)&gt;0,1,0))</f>
        <v/>
      </c>
    </row>
    <row r="57">
      <c r="H57" s="7">
        <f>IF($H56="","",$H56-1)</f>
        <v/>
      </c>
      <c r="I57" s="8">
        <f>IF($H57="",0,IF(COUNTIF('Practice Log'!$A$4:$A$200,$H57)&gt;0,1,0))</f>
        <v/>
      </c>
    </row>
    <row r="58">
      <c r="H58" s="7">
        <f>IF($H57="","",$H57-1)</f>
        <v/>
      </c>
      <c r="I58" s="8">
        <f>IF($H58="",0,IF(COUNTIF('Practice Log'!$A$4:$A$200,$H58)&gt;0,1,0))</f>
        <v/>
      </c>
    </row>
    <row r="59">
      <c r="H59" s="7">
        <f>IF($H58="","",$H58-1)</f>
        <v/>
      </c>
      <c r="I59" s="8">
        <f>IF($H59="",0,IF(COUNTIF('Practice Log'!$A$4:$A$200,$H59)&gt;0,1,0))</f>
        <v/>
      </c>
    </row>
    <row r="60">
      <c r="H60" s="7">
        <f>IF($H59="","",$H59-1)</f>
        <v/>
      </c>
      <c r="I60" s="8">
        <f>IF($H60="",0,IF(COUNTIF('Practice Log'!$A$4:$A$200,$H60)&gt;0,1,0))</f>
        <v/>
      </c>
    </row>
    <row r="61">
      <c r="H61" s="7">
        <f>IF($H60="","",$H60-1)</f>
        <v/>
      </c>
      <c r="I61" s="8">
        <f>IF($H61="",0,IF(COUNTIF('Practice Log'!$A$4:$A$200,$H61)&gt;0,1,0))</f>
        <v/>
      </c>
    </row>
    <row r="62">
      <c r="H62" s="7">
        <f>IF($H61="","",$H61-1)</f>
        <v/>
      </c>
      <c r="I62" s="8">
        <f>IF($H62="",0,IF(COUNTIF('Practice Log'!$A$4:$A$200,$H62)&gt;0,1,0))</f>
        <v/>
      </c>
    </row>
    <row r="63">
      <c r="H63" s="7">
        <f>IF($H62="","",$H62-1)</f>
        <v/>
      </c>
      <c r="I63" s="8">
        <f>IF($H63="",0,IF(COUNTIF('Practice Log'!$A$4:$A$200,$H63)&gt;0,1,0))</f>
        <v/>
      </c>
    </row>
    <row r="64">
      <c r="H64" s="7">
        <f>IF($H63="","",$H63-1)</f>
        <v/>
      </c>
      <c r="I64" s="8">
        <f>IF($H64="",0,IF(COUNTIF('Practice Log'!$A$4:$A$200,$H64)&gt;0,1,0))</f>
        <v/>
      </c>
    </row>
  </sheetData>
  <mergeCells count="9">
    <mergeCell ref="A50:C50"/>
    <mergeCell ref="B24:C24"/>
    <mergeCell ref="A49:C49"/>
    <mergeCell ref="A47:C47"/>
    <mergeCell ref="B25:C25"/>
    <mergeCell ref="A46:C46"/>
    <mergeCell ref="B26:C26"/>
    <mergeCell ref="B27:C27"/>
    <mergeCell ref="A48:C48"/>
  </mergeCells>
  <conditionalFormatting sqref="E31:E43">
    <cfRule type="dataBar" priority="1">
      <dataBar>
        <cfvo type="num" val="0"/>
        <cfvo type="num" val="1"/>
        <color rgb="004472C4"/>
      </dataBar>
    </cfRule>
  </conditionalFormatting>
  <conditionalFormatting sqref="B12">
    <cfRule type="dataBar" priority="2">
      <dataBar>
        <cfvo type="num" val="0"/>
        <cfvo type="num" val="1"/>
        <color rgb="0070AD47"/>
      </dataBar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42" customWidth="1" min="4" max="4"/>
    <col width="26" customWidth="1" min="5" max="5"/>
    <col width="30" customWidth="1" min="6" max="6"/>
    <col width="34" customWidth="1" min="7" max="7"/>
    <col width="20" customWidth="1" min="8" max="8"/>
    <col width="11" customWidth="1" min="9" max="9"/>
    <col width="13" customWidth="1" min="10" max="10"/>
    <col width="40" customWidth="1" min="11" max="11"/>
    <col width="38" customWidth="1" min="12" max="12"/>
    <col width="13" customWidth="1" min="13" max="13"/>
    <col width="14" customWidth="1" min="14" max="14"/>
    <col width="13" customWidth="1" min="15" max="15"/>
    <col width="9" customWidth="1" min="16" max="16"/>
    <col width="10" customWidth="1" min="17" max="17"/>
    <col width="34" customWidth="1" min="18" max="18"/>
    <col width="14" customWidth="1" min="19" max="19"/>
  </cols>
  <sheetData>
    <row r="1">
      <c r="A1" s="1" t="inlineStr">
        <is>
          <t>Roadmap / Учебная карта: уровни 0–12</t>
        </is>
      </c>
      <c r="C1" s="2" t="inlineStr">
        <is>
          <t>Заполняйте синие колонки: M–R (даты, статус, балл, часы, заметки). Колонка S считается автоматически. Остальное — программа курса.</t>
        </is>
      </c>
    </row>
    <row r="2" ht="34" customHeight="1">
      <c r="A2" s="23" t="inlineStr">
        <is>
          <t>ID</t>
        </is>
      </c>
      <c r="B2" s="23" t="inlineStr">
        <is>
          <t>Уровень</t>
        </is>
      </c>
      <c r="C2" s="23" t="inlineStr">
        <is>
          <t>Модуль</t>
        </is>
      </c>
      <c r="D2" s="23" t="inlineStr">
        <is>
          <t>Цель: что я должен понять</t>
        </is>
      </c>
      <c r="E2" s="23" t="inlineStr">
        <is>
          <t>Предварительные знания</t>
        </is>
      </c>
      <c r="F2" s="23" t="inlineStr">
        <is>
          <t>Урок или видео</t>
        </is>
      </c>
      <c r="G2" s="23" t="inlineStr">
        <is>
          <t>YouTube-ссылка</t>
        </is>
      </c>
      <c r="H2" s="23" t="inlineStr">
        <is>
          <t>Автор / канал</t>
        </is>
      </c>
      <c r="I2" s="23" t="inlineStr">
        <is>
          <t>Язык</t>
        </is>
      </c>
      <c r="J2" s="23" t="inlineStr">
        <is>
          <t>Длительность</t>
        </is>
      </c>
      <c r="K2" s="23" t="inlineStr">
        <is>
          <t>Задание</t>
        </is>
      </c>
      <c r="L2" s="23" t="inlineStr">
        <is>
          <t>Контрольный вопрос</t>
        </is>
      </c>
      <c r="M2" s="23" t="inlineStr">
        <is>
          <t>Плановая дата</t>
        </is>
      </c>
      <c r="N2" s="23" t="inlineStr">
        <is>
          <t>Фактическая дата</t>
        </is>
      </c>
      <c r="O2" s="23" t="inlineStr">
        <is>
          <t>Статус</t>
        </is>
      </c>
      <c r="P2" s="23" t="inlineStr">
        <is>
          <t>Балл (0-5)</t>
        </is>
      </c>
      <c r="Q2" s="23" t="inlineStr">
        <is>
          <t>Время, часы</t>
        </is>
      </c>
      <c r="R2" s="23" t="inlineStr">
        <is>
          <t>Заметки: выводы и вопросы</t>
        </is>
      </c>
      <c r="S2" s="23" t="inlineStr">
        <is>
          <t>Следующий повтор</t>
        </is>
      </c>
    </row>
    <row r="3">
      <c r="A3" s="24" t="n">
        <v>1</v>
      </c>
      <c r="B3" s="24" t="n">
        <v>0</v>
      </c>
      <c r="C3" s="24" t="inlineStr">
        <is>
          <t>Что такое акция</t>
        </is>
      </c>
      <c r="D3" s="24" t="inlineStr">
        <is>
          <t>Акция — доля бизнеса, а не билет лотереи</t>
        </is>
      </c>
      <c r="E3" s="24" t="inlineStr">
        <is>
          <t>—</t>
        </is>
      </c>
      <c r="F3" s="24" t="inlineStr">
        <is>
          <t>Khan Academy: Stocks and bonds</t>
        </is>
      </c>
      <c r="G3" s="25" t="inlineStr">
        <is>
          <t>https://www.youtube.com/playlist?list=PLSQl0a2vh4HD1g_teRDEUkwMIIFlB8MJv</t>
        </is>
      </c>
      <c r="H3" s="24" t="inlineStr">
        <is>
          <t>Khan Academy</t>
        </is>
      </c>
      <c r="I3" s="24" t="inlineStr">
        <is>
          <t>Английский</t>
        </is>
      </c>
      <c r="J3" s="24" t="inlineStr">
        <is>
          <t>уточнить на странице</t>
        </is>
      </c>
      <c r="K3" s="24" t="inlineStr">
        <is>
          <t>Выбрать компанию, найти тикер и биржу</t>
        </is>
      </c>
      <c r="L3" s="24" t="inlineStr">
        <is>
          <t>Чем компания отличается от её акции?</t>
        </is>
      </c>
      <c r="M3" s="26" t="n"/>
      <c r="N3" s="26" t="n"/>
      <c r="O3" s="27" t="inlineStr">
        <is>
          <t>Не начато</t>
        </is>
      </c>
      <c r="P3" s="27" t="n"/>
      <c r="Q3" s="27" t="n"/>
      <c r="R3" s="27" t="n"/>
      <c r="S3" s="28">
        <f>IF(N3="","",N3+7)</f>
        <v/>
      </c>
    </row>
    <row r="4">
      <c r="A4" s="24" t="n">
        <v>2</v>
      </c>
      <c r="B4" s="24" t="n">
        <v>0</v>
      </c>
      <c r="C4" s="24" t="inlineStr">
        <is>
          <t>Компания против акции</t>
        </is>
      </c>
      <c r="D4" s="24" t="inlineStr">
        <is>
          <t>Бизнес меняется годами, цена — ежесекундно</t>
        </is>
      </c>
      <c r="E4" s="24" t="inlineStr">
        <is>
          <t>Модуль 0.1</t>
        </is>
      </c>
      <c r="F4" s="24" t="inlineStr">
        <is>
          <t>Раздел 0.2 учебника</t>
        </is>
      </c>
      <c r="G4" s="24" t="inlineStr"/>
      <c r="H4" s="24" t="inlineStr">
        <is>
          <t>Учебник курса</t>
        </is>
      </c>
      <c r="I4" s="24" t="inlineStr">
        <is>
          <t>Русский</t>
        </is>
      </c>
      <c r="J4" s="24" t="inlineStr">
        <is>
          <t>—</t>
        </is>
      </c>
      <c r="K4" s="24" t="inlineStr">
        <is>
          <t>Описать бизнес компании 5 предложениями</t>
        </is>
      </c>
      <c r="L4" s="24" t="inlineStr">
        <is>
          <t>Почему хорошая компания ≠ хорошая инвестиция?</t>
        </is>
      </c>
      <c r="M4" s="26" t="n"/>
      <c r="N4" s="26" t="n"/>
      <c r="O4" s="27" t="inlineStr">
        <is>
          <t>Не начато</t>
        </is>
      </c>
      <c r="P4" s="27" t="n"/>
      <c r="Q4" s="27" t="n"/>
      <c r="R4" s="27" t="n"/>
      <c r="S4" s="28">
        <f>IF(N4="","",N4+7)</f>
        <v/>
      </c>
    </row>
    <row r="5">
      <c r="A5" s="24" t="n">
        <v>3</v>
      </c>
      <c r="B5" s="24" t="n">
        <v>0</v>
      </c>
      <c r="C5" s="24" t="inlineStr">
        <is>
          <t>Акция, облигация, ETF, индекс</t>
        </is>
      </c>
      <c r="D5" s="24" t="inlineStr">
        <is>
          <t>Разница между долей и долгом</t>
        </is>
      </c>
      <c r="E5" s="24" t="inlineStr">
        <is>
          <t>Модуль 0.1</t>
        </is>
      </c>
      <c r="F5" s="24" t="inlineStr">
        <is>
          <t>Khan Academy: Introduction to bonds</t>
        </is>
      </c>
      <c r="G5" s="25" t="inlineStr">
        <is>
          <t>https://www.youtube.com/watch?v=Qh-M3_L4xYk</t>
        </is>
      </c>
      <c r="H5" s="24" t="inlineStr">
        <is>
          <t>Khan Academy</t>
        </is>
      </c>
      <c r="I5" s="24" t="inlineStr">
        <is>
          <t>Английский</t>
        </is>
      </c>
      <c r="J5" s="24" t="inlineStr">
        <is>
          <t>уточнить на странице</t>
        </is>
      </c>
      <c r="K5" s="24" t="inlineStr">
        <is>
          <t>Сравнить риск акции и облигации письменно</t>
        </is>
      </c>
      <c r="L5" s="24" t="inlineStr">
        <is>
          <t>Кто стоит раньше в очереди при банкротстве?</t>
        </is>
      </c>
      <c r="M5" s="26" t="n"/>
      <c r="N5" s="26" t="n"/>
      <c r="O5" s="27" t="inlineStr">
        <is>
          <t>Не начато</t>
        </is>
      </c>
      <c r="P5" s="27" t="n"/>
      <c r="Q5" s="27" t="n"/>
      <c r="R5" s="27" t="n"/>
      <c r="S5" s="28">
        <f>IF(N5="","",N5+7)</f>
        <v/>
      </c>
    </row>
    <row r="6">
      <c r="A6" s="24" t="n">
        <v>4</v>
      </c>
      <c r="B6" s="24" t="n">
        <v>0</v>
      </c>
      <c r="C6" s="24" t="inlineStr">
        <is>
          <t>Выпуск акций, IPO, вторичный рынок</t>
        </is>
      </c>
      <c r="D6" s="24" t="inlineStr">
        <is>
          <t>Куда идут деньги при покупке акции</t>
        </is>
      </c>
      <c r="E6" s="24" t="inlineStr">
        <is>
          <t>Модуль 0.3</t>
        </is>
      </c>
      <c r="F6" s="24" t="inlineStr">
        <is>
          <t>Раздел 0.4 учебника</t>
        </is>
      </c>
      <c r="G6" s="24" t="inlineStr"/>
      <c r="H6" s="24" t="inlineStr">
        <is>
          <t>Учебник курса</t>
        </is>
      </c>
      <c r="I6" s="24" t="inlineStr">
        <is>
          <t>Русский</t>
        </is>
      </c>
      <c r="J6" s="24" t="inlineStr">
        <is>
          <t>—</t>
        </is>
      </c>
      <c r="K6" s="24" t="inlineStr">
        <is>
          <t>Найти дату IPO своей компании</t>
        </is>
      </c>
      <c r="L6" s="24" t="inlineStr">
        <is>
          <t>Получает ли компания деньги от сделок на бирже?</t>
        </is>
      </c>
      <c r="M6" s="26" t="n"/>
      <c r="N6" s="26" t="n"/>
      <c r="O6" s="27" t="inlineStr">
        <is>
          <t>Не начато</t>
        </is>
      </c>
      <c r="P6" s="27" t="n"/>
      <c r="Q6" s="27" t="n"/>
      <c r="R6" s="27" t="n"/>
      <c r="S6" s="28">
        <f>IF(N6="","",N6+7)</f>
        <v/>
      </c>
    </row>
    <row r="7">
      <c r="A7" s="24" t="n">
        <v>5</v>
      </c>
      <c r="B7" s="24" t="n">
        <v>0</v>
      </c>
      <c r="C7" s="24" t="inlineStr">
        <is>
          <t>Акции в обращении, free float, разводнение, buyback</t>
        </is>
      </c>
      <c r="D7" s="24" t="inlineStr">
        <is>
          <t>Число акций меняет всё</t>
        </is>
      </c>
      <c r="E7" s="24" t="inlineStr">
        <is>
          <t>Модуль 0.4</t>
        </is>
      </c>
      <c r="F7" s="24" t="inlineStr">
        <is>
          <t>Раздел 0.5 учебника</t>
        </is>
      </c>
      <c r="G7" s="24" t="inlineStr"/>
      <c r="H7" s="24" t="inlineStr">
        <is>
          <t>Учебник курса</t>
        </is>
      </c>
      <c r="I7" s="24" t="inlineStr">
        <is>
          <t>Русский</t>
        </is>
      </c>
      <c r="J7" s="24" t="inlineStr">
        <is>
          <t>—</t>
        </is>
      </c>
      <c r="K7" s="24" t="inlineStr">
        <is>
          <t>Найти diluted shares на обложке 10-Q</t>
        </is>
      </c>
      <c r="L7" s="24" t="inlineStr">
        <is>
          <t>Что делает buyback с EPS?</t>
        </is>
      </c>
      <c r="M7" s="26" t="n"/>
      <c r="N7" s="26" t="n"/>
      <c r="O7" s="27" t="inlineStr">
        <is>
          <t>Не начато</t>
        </is>
      </c>
      <c r="P7" s="27" t="n"/>
      <c r="Q7" s="27" t="n"/>
      <c r="R7" s="27" t="n"/>
      <c r="S7" s="28">
        <f>IF(N7="","",N7+7)</f>
        <v/>
      </c>
    </row>
    <row r="8">
      <c r="A8" s="24" t="n">
        <v>6</v>
      </c>
      <c r="B8" s="24" t="n">
        <v>0</v>
      </c>
      <c r="C8" s="24" t="inlineStr">
        <is>
          <t>Рыночная капитализация</t>
        </is>
      </c>
      <c r="D8" s="24" t="inlineStr">
        <is>
          <t>Цена акции ≠ стоимость компании</t>
        </is>
      </c>
      <c r="E8" s="24" t="inlineStr">
        <is>
          <t>Модуль 0.5</t>
        </is>
      </c>
      <c r="F8" s="24" t="inlineStr">
        <is>
          <t>Khan Academy: What it means to buy a stock</t>
        </is>
      </c>
      <c r="G8" s="25" t="inlineStr">
        <is>
          <t>https://www.youtube.com/watch?v=98qfFzqDKR8</t>
        </is>
      </c>
      <c r="H8" s="24" t="inlineStr">
        <is>
          <t>Khan Academy</t>
        </is>
      </c>
      <c r="I8" s="24" t="inlineStr">
        <is>
          <t>Английский</t>
        </is>
      </c>
      <c r="J8" s="24" t="inlineStr">
        <is>
          <t>уточнить на странице</t>
        </is>
      </c>
      <c r="K8" s="24" t="inlineStr">
        <is>
          <t>Посчитать капитализацию вручную построчно</t>
        </is>
      </c>
      <c r="L8" s="24" t="inlineStr">
        <is>
          <t>Почему акция за 10 $ не дешевле акции за 500 $?</t>
        </is>
      </c>
      <c r="M8" s="26" t="n"/>
      <c r="N8" s="26" t="n"/>
      <c r="O8" s="27" t="inlineStr">
        <is>
          <t>Не начато</t>
        </is>
      </c>
      <c r="P8" s="27" t="n"/>
      <c r="Q8" s="27" t="n"/>
      <c r="R8" s="27" t="n"/>
      <c r="S8" s="28">
        <f>IF(N8="","",N8+7)</f>
        <v/>
      </c>
    </row>
    <row r="9">
      <c r="A9" s="24" t="n">
        <v>7</v>
      </c>
      <c r="B9" s="24" t="n">
        <v>0</v>
      </c>
      <c r="C9" s="24" t="inlineStr">
        <is>
          <t>Доходность, риск, волатильность, ликвидность</t>
        </is>
      </c>
      <c r="D9" s="24" t="inlineStr">
        <is>
          <t>Риск ≠ волатильность</t>
        </is>
      </c>
      <c r="E9" s="24" t="inlineStr">
        <is>
          <t>Модуль 0.6</t>
        </is>
      </c>
      <c r="F9" s="24" t="inlineStr">
        <is>
          <t>Раздел 0.7 учебника</t>
        </is>
      </c>
      <c r="G9" s="24" t="inlineStr"/>
      <c r="H9" s="24" t="inlineStr">
        <is>
          <t>Учебник курса</t>
        </is>
      </c>
      <c r="I9" s="24" t="inlineStr">
        <is>
          <t>Русский</t>
        </is>
      </c>
      <c r="J9" s="24" t="inlineStr">
        <is>
          <t>—</t>
        </is>
      </c>
      <c r="K9" s="24" t="inlineStr">
        <is>
          <t>Посчитать доходность с учётом дивиденда</t>
        </is>
      </c>
      <c r="L9" s="24" t="inlineStr">
        <is>
          <t>Чем риск отличается от волатильности?</t>
        </is>
      </c>
      <c r="M9" s="26" t="n"/>
      <c r="N9" s="26" t="n"/>
      <c r="O9" s="27" t="inlineStr">
        <is>
          <t>Не начато</t>
        </is>
      </c>
      <c r="P9" s="27" t="n"/>
      <c r="Q9" s="27" t="n"/>
      <c r="R9" s="27" t="n"/>
      <c r="S9" s="28">
        <f>IF(N9="","",N9+7)</f>
        <v/>
      </c>
    </row>
    <row r="10">
      <c r="A10" s="24" t="n">
        <v>8</v>
      </c>
      <c r="B10" s="24" t="n">
        <v>0</v>
      </c>
      <c r="C10" s="24" t="inlineStr">
        <is>
          <t>Инвестирование, трейдинг, спекуляция. Эмоции</t>
        </is>
      </c>
      <c r="D10" s="24" t="inlineStr">
        <is>
          <t>Разные горизонты и основания решений</t>
        </is>
      </c>
      <c r="E10" s="24" t="inlineStr">
        <is>
          <t>Модуль 0.7</t>
        </is>
      </c>
      <c r="F10" s="24" t="inlineStr">
        <is>
          <t>Финансовая культура (Банк России)</t>
        </is>
      </c>
      <c r="G10" s="25" t="inlineStr">
        <is>
          <t>https://www.youtube.com/channel/UCmLiKX9HVtX2wOR1Xz9gn3A</t>
        </is>
      </c>
      <c r="H10" s="24" t="inlineStr">
        <is>
          <t>Банк России</t>
        </is>
      </c>
      <c r="I10" s="24" t="inlineStr">
        <is>
          <t>Русский</t>
        </is>
      </c>
      <c r="J10" s="24" t="inlineStr">
        <is>
          <t>уточнить на странице</t>
        </is>
      </c>
      <c r="K10" s="24" t="inlineStr">
        <is>
          <t>Составить список признаков финансовой пирамиды</t>
        </is>
      </c>
      <c r="L10" s="24" t="inlineStr">
        <is>
          <t>Что защищает от FOMO лучше силы воли?</t>
        </is>
      </c>
      <c r="M10" s="26" t="n"/>
      <c r="N10" s="26" t="n"/>
      <c r="O10" s="27" t="inlineStr">
        <is>
          <t>Не начато</t>
        </is>
      </c>
      <c r="P10" s="27" t="n"/>
      <c r="Q10" s="27" t="n"/>
      <c r="R10" s="27" t="n"/>
      <c r="S10" s="28">
        <f>IF(N10="","",N10+7)</f>
        <v/>
      </c>
    </row>
    <row r="11">
      <c r="A11" s="24" t="n">
        <v>9</v>
      </c>
      <c r="B11" s="24" t="n">
        <v>1</v>
      </c>
      <c r="C11" s="24" t="inlineStr">
        <is>
          <t>Участники рынка</t>
        </is>
      </c>
      <c r="D11" s="24" t="inlineStr">
        <is>
          <t>Кто формирует объём и цену</t>
        </is>
      </c>
      <c r="E11" s="24" t="inlineStr">
        <is>
          <t>Уровень 0</t>
        </is>
      </c>
      <c r="F11" s="24" t="inlineStr">
        <is>
          <t>Раздел 1.1 учебника</t>
        </is>
      </c>
      <c r="G11" s="24" t="inlineStr"/>
      <c r="H11" s="24" t="inlineStr">
        <is>
          <t>Учебник курса</t>
        </is>
      </c>
      <c r="I11" s="24" t="inlineStr">
        <is>
          <t>Русский</t>
        </is>
      </c>
      <c r="J11" s="24" t="inlineStr">
        <is>
          <t>—</t>
        </is>
      </c>
      <c r="K11" s="24" t="inlineStr">
        <is>
          <t>Найти долю институциональных держателей</t>
        </is>
      </c>
      <c r="L11" s="24" t="inlineStr">
        <is>
          <t>Обязан ли аналитик быть прав?</t>
        </is>
      </c>
      <c r="M11" s="26" t="n"/>
      <c r="N11" s="26" t="n"/>
      <c r="O11" s="27" t="inlineStr">
        <is>
          <t>Не начато</t>
        </is>
      </c>
      <c r="P11" s="27" t="n"/>
      <c r="Q11" s="27" t="n"/>
      <c r="R11" s="27" t="n"/>
      <c r="S11" s="28">
        <f>IF(N11="","",N11+7)</f>
        <v/>
      </c>
    </row>
    <row r="12">
      <c r="A12" s="24" t="n">
        <v>10</v>
      </c>
      <c r="B12" s="24" t="n">
        <v>1</v>
      </c>
      <c r="C12" s="24" t="inlineStr">
        <is>
          <t>Стакан, bid, ask, спред</t>
        </is>
      </c>
      <c r="D12" s="24" t="inlineStr">
        <is>
          <t>Спред — скрытая стоимость сделки</t>
        </is>
      </c>
      <c r="E12" s="24" t="inlineStr">
        <is>
          <t>Модуль 1.1</t>
        </is>
      </c>
      <c r="F12" s="24" t="inlineStr">
        <is>
          <t>Раздел 1.2 учебника</t>
        </is>
      </c>
      <c r="G12" s="24" t="inlineStr"/>
      <c r="H12" s="24" t="inlineStr">
        <is>
          <t>Учебник курса</t>
        </is>
      </c>
      <c r="I12" s="24" t="inlineStr">
        <is>
          <t>Русский</t>
        </is>
      </c>
      <c r="J12" s="24" t="inlineStr">
        <is>
          <t>—</t>
        </is>
      </c>
      <c r="K12" s="24" t="inlineStr">
        <is>
          <t>Сравнить спреды ликвидной и неликвидной бумаги</t>
        </is>
      </c>
      <c r="L12" s="24" t="inlineStr">
        <is>
          <t>Когда рыночная заявка опасна?</t>
        </is>
      </c>
      <c r="M12" s="26" t="n"/>
      <c r="N12" s="26" t="n"/>
      <c r="O12" s="27" t="inlineStr">
        <is>
          <t>Не начато</t>
        </is>
      </c>
      <c r="P12" s="27" t="n"/>
      <c r="Q12" s="27" t="n"/>
      <c r="R12" s="27" t="n"/>
      <c r="S12" s="28">
        <f>IF(N12="","",N12+7)</f>
        <v/>
      </c>
    </row>
    <row r="13">
      <c r="A13" s="24" t="n">
        <v>11</v>
      </c>
      <c r="B13" s="24" t="n">
        <v>1</v>
      </c>
      <c r="C13" s="24" t="inlineStr">
        <is>
          <t>Типы заявок и сессии</t>
        </is>
      </c>
      <c r="D13" s="24" t="inlineStr">
        <is>
          <t>Контроль цены исполнения</t>
        </is>
      </c>
      <c r="E13" s="24" t="inlineStr">
        <is>
          <t>Модуль 1.2</t>
        </is>
      </c>
      <c r="F13" s="24" t="inlineStr">
        <is>
          <t>Обучение Московской биржи</t>
        </is>
      </c>
      <c r="G13" s="25" t="inlineStr">
        <is>
          <t>https://www.moex.com/msn/learning</t>
        </is>
      </c>
      <c r="H13" s="24" t="inlineStr">
        <is>
          <t>Московская биржа</t>
        </is>
      </c>
      <c r="I13" s="24" t="inlineStr">
        <is>
          <t>Русский</t>
        </is>
      </c>
      <c r="J13" s="24" t="inlineStr">
        <is>
          <t>уточнить на странице</t>
        </is>
      </c>
      <c r="K13" s="24" t="inlineStr">
        <is>
          <t>Описать разницу market и limit order</t>
        </is>
      </c>
      <c r="L13" s="24" t="inlineStr">
        <is>
          <t>Почему движения на премаркете обманчивы?</t>
        </is>
      </c>
      <c r="M13" s="26" t="n"/>
      <c r="N13" s="26" t="n"/>
      <c r="O13" s="27" t="inlineStr">
        <is>
          <t>Не начато</t>
        </is>
      </c>
      <c r="P13" s="27" t="n"/>
      <c r="Q13" s="27" t="n"/>
      <c r="R13" s="27" t="n"/>
      <c r="S13" s="28">
        <f>IF(N13="","",N13+7)</f>
        <v/>
      </c>
    </row>
    <row r="14">
      <c r="A14" s="24" t="n">
        <v>12</v>
      </c>
      <c r="B14" s="24" t="n">
        <v>1</v>
      </c>
      <c r="C14" s="24" t="inlineStr">
        <is>
          <t>Дивиденды и даты</t>
        </is>
      </c>
      <c r="D14" s="24" t="inlineStr">
        <is>
          <t>Дивиденд не создаёт стоимость из воздуха</t>
        </is>
      </c>
      <c r="E14" s="24" t="inlineStr">
        <is>
          <t>Модуль 1.2</t>
        </is>
      </c>
      <c r="F14" s="24" t="inlineStr">
        <is>
          <t>Раздел 1.4 учебника</t>
        </is>
      </c>
      <c r="G14" s="24" t="inlineStr"/>
      <c r="H14" s="24" t="inlineStr">
        <is>
          <t>Учебник курса</t>
        </is>
      </c>
      <c r="I14" s="24" t="inlineStr">
        <is>
          <t>Русский</t>
        </is>
      </c>
      <c r="J14" s="24" t="inlineStr">
        <is>
          <t>—</t>
        </is>
      </c>
      <c r="K14" s="24" t="inlineStr">
        <is>
          <t>Найти ex-dividend date и поведение цены</t>
        </is>
      </c>
      <c r="L14" s="24" t="inlineStr">
        <is>
          <t>Что происходит с ценой в дату отсечения?</t>
        </is>
      </c>
      <c r="M14" s="26" t="n"/>
      <c r="N14" s="26" t="n"/>
      <c r="O14" s="27" t="inlineStr">
        <is>
          <t>Не начато</t>
        </is>
      </c>
      <c r="P14" s="27" t="n"/>
      <c r="Q14" s="27" t="n"/>
      <c r="R14" s="27" t="n"/>
      <c r="S14" s="28">
        <f>IF(N14="","",N14+7)</f>
        <v/>
      </c>
    </row>
    <row r="15">
      <c r="A15" s="24" t="n">
        <v>13</v>
      </c>
      <c r="B15" s="24" t="n">
        <v>1</v>
      </c>
      <c r="C15" s="24" t="inlineStr">
        <is>
          <t>Дробление акций</t>
        </is>
      </c>
      <c r="D15" s="24" t="inlineStr">
        <is>
          <t>Нарезка меняется, стоимость — нет</t>
        </is>
      </c>
      <c r="E15" s="24" t="inlineStr">
        <is>
          <t>Модуль 0.6</t>
        </is>
      </c>
      <c r="F15" s="24" t="inlineStr">
        <is>
          <t>Раздел 1.5 учебника</t>
        </is>
      </c>
      <c r="G15" s="24" t="inlineStr"/>
      <c r="H15" s="24" t="inlineStr">
        <is>
          <t>Учебник курса</t>
        </is>
      </c>
      <c r="I15" s="24" t="inlineStr">
        <is>
          <t>Русский</t>
        </is>
      </c>
      <c r="J15" s="24" t="inlineStr">
        <is>
          <t>—</t>
        </is>
      </c>
      <c r="K15" s="24" t="inlineStr">
        <is>
          <t>Найти историю сплитов компании</t>
        </is>
      </c>
      <c r="L15" s="24" t="inlineStr">
        <is>
          <t>Меняет ли сплит капитализацию?</t>
        </is>
      </c>
      <c r="M15" s="26" t="n"/>
      <c r="N15" s="26" t="n"/>
      <c r="O15" s="27" t="inlineStr">
        <is>
          <t>Не начато</t>
        </is>
      </c>
      <c r="P15" s="27" t="n"/>
      <c r="Q15" s="27" t="n"/>
      <c r="R15" s="27" t="n"/>
      <c r="S15" s="28">
        <f>IF(N15="","",N15+7)</f>
        <v/>
      </c>
    </row>
    <row r="16">
      <c r="A16" s="24" t="n">
        <v>14</v>
      </c>
      <c r="B16" s="24" t="n">
        <v>1</v>
      </c>
      <c r="C16" s="24" t="inlineStr">
        <is>
          <t>Почему цена движется без изменений в бизнесе</t>
        </is>
      </c>
      <c r="D16" s="24" t="inlineStr">
        <is>
          <t>Рынок торгует ожиданиями</t>
        </is>
      </c>
      <c r="E16" s="24" t="inlineStr">
        <is>
          <t>Модуль 1.4</t>
        </is>
      </c>
      <c r="F16" s="24" t="inlineStr">
        <is>
          <t>Раздел 1.6 учебника</t>
        </is>
      </c>
      <c r="G16" s="24" t="inlineStr"/>
      <c r="H16" s="24" t="inlineStr">
        <is>
          <t>Учебник курса</t>
        </is>
      </c>
      <c r="I16" s="24" t="inlineStr">
        <is>
          <t>Русский</t>
        </is>
      </c>
      <c r="J16" s="24" t="inlineStr">
        <is>
          <t>—</t>
        </is>
      </c>
      <c r="K16" s="24" t="inlineStr">
        <is>
          <t>Найти день отчёта и объяснить реакцию цены</t>
        </is>
      </c>
      <c r="L16" s="24" t="inlineStr">
        <is>
          <t>Почему акция падает на хорошем отчёте?</t>
        </is>
      </c>
      <c r="M16" s="26" t="n"/>
      <c r="N16" s="26" t="n"/>
      <c r="O16" s="27" t="inlineStr">
        <is>
          <t>Не начато</t>
        </is>
      </c>
      <c r="P16" s="27" t="n"/>
      <c r="Q16" s="27" t="n"/>
      <c r="R16" s="27" t="n"/>
      <c r="S16" s="28">
        <f>IF(N16="","",N16+7)</f>
        <v/>
      </c>
    </row>
    <row r="17">
      <c r="A17" s="24" t="n">
        <v>15</v>
      </c>
      <c r="B17" s="24" t="n">
        <v>2</v>
      </c>
      <c r="C17" s="24" t="inlineStr">
        <is>
          <t>Income Statement</t>
        </is>
      </c>
      <c r="D17" s="24" t="inlineStr">
        <is>
          <t>Воронка от выручки до чистой прибыли</t>
        </is>
      </c>
      <c r="E17" s="24" t="inlineStr">
        <is>
          <t>Уровень 1</t>
        </is>
      </c>
      <c r="F17" s="24" t="inlineStr">
        <is>
          <t>SEC: How to Read a 10-K</t>
        </is>
      </c>
      <c r="G17" s="25" t="inlineStr">
        <is>
          <t>https://www.sec.gov/files/reada10k.pdf</t>
        </is>
      </c>
      <c r="H17" s="24" t="inlineStr">
        <is>
          <t>U.S. SEC</t>
        </is>
      </c>
      <c r="I17" s="24" t="inlineStr">
        <is>
          <t>Английский</t>
        </is>
      </c>
      <c r="J17" s="24" t="inlineStr">
        <is>
          <t>уточнить на странице</t>
        </is>
      </c>
      <c r="K17" s="24" t="inlineStr">
        <is>
          <t>Выписать 4 ключевые строки из 10-K</t>
        </is>
      </c>
      <c r="L17" s="24" t="inlineStr">
        <is>
          <t>Что искажает чистую прибыль?</t>
        </is>
      </c>
      <c r="M17" s="26" t="n"/>
      <c r="N17" s="26" t="n"/>
      <c r="O17" s="27" t="inlineStr">
        <is>
          <t>Не начато</t>
        </is>
      </c>
      <c r="P17" s="27" t="n"/>
      <c r="Q17" s="27" t="n"/>
      <c r="R17" s="27" t="n"/>
      <c r="S17" s="28">
        <f>IF(N17="","",N17+7)</f>
        <v/>
      </c>
    </row>
    <row r="18">
      <c r="A18" s="24" t="n">
        <v>16</v>
      </c>
      <c r="B18" s="24" t="n">
        <v>2</v>
      </c>
      <c r="C18" s="24" t="inlineStr">
        <is>
          <t>Balance Sheet</t>
        </is>
      </c>
      <c r="D18" s="24" t="inlineStr">
        <is>
          <t>Активы = Обязательства + Капитал</t>
        </is>
      </c>
      <c r="E18" s="24" t="inlineStr">
        <is>
          <t>Модуль 2.1</t>
        </is>
      </c>
      <c r="F18" s="24" t="inlineStr">
        <is>
          <t>Khan: Basic capital structure differences</t>
        </is>
      </c>
      <c r="G18" s="25" t="inlineStr">
        <is>
          <t>https://www.youtube.com/watch?v=YEZMReBbkP0</t>
        </is>
      </c>
      <c r="H18" s="24" t="inlineStr">
        <is>
          <t>Khan Academy</t>
        </is>
      </c>
      <c r="I18" s="24" t="inlineStr">
        <is>
          <t>Английский</t>
        </is>
      </c>
      <c r="J18" s="24" t="inlineStr">
        <is>
          <t>уточнить на странице</t>
        </is>
      </c>
      <c r="K18" s="24" t="inlineStr">
        <is>
          <t>Проверить равенство баланса по отчёту</t>
        </is>
      </c>
      <c r="L18" s="24" t="inlineStr">
        <is>
          <t>Откуда берётся goodwill?</t>
        </is>
      </c>
      <c r="M18" s="26" t="n"/>
      <c r="N18" s="26" t="n"/>
      <c r="O18" s="27" t="inlineStr">
        <is>
          <t>Не начато</t>
        </is>
      </c>
      <c r="P18" s="27" t="n"/>
      <c r="Q18" s="27" t="n"/>
      <c r="R18" s="27" t="n"/>
      <c r="S18" s="28">
        <f>IF(N18="","",N18+7)</f>
        <v/>
      </c>
    </row>
    <row r="19">
      <c r="A19" s="24" t="n">
        <v>17</v>
      </c>
      <c r="B19" s="24" t="n">
        <v>2</v>
      </c>
      <c r="C19" s="24" t="inlineStr">
        <is>
          <t>Cash Flow Statement</t>
        </is>
      </c>
      <c r="D19" s="24" t="inlineStr">
        <is>
          <t>Куда реально ходили деньги</t>
        </is>
      </c>
      <c r="E19" s="24" t="inlineStr">
        <is>
          <t>Модуль 2.2</t>
        </is>
      </c>
      <c r="F19" s="24" t="inlineStr">
        <is>
          <t>Раздел 2.3 учебника</t>
        </is>
      </c>
      <c r="G19" s="24" t="inlineStr"/>
      <c r="H19" s="24" t="inlineStr">
        <is>
          <t>Учебник курса</t>
        </is>
      </c>
      <c r="I19" s="24" t="inlineStr">
        <is>
          <t>Русский</t>
        </is>
      </c>
      <c r="J19" s="24" t="inlineStr">
        <is>
          <t>—</t>
        </is>
      </c>
      <c r="K19" s="24" t="inlineStr">
        <is>
          <t>Посчитать FCF = OCF − CapEx построчно</t>
        </is>
      </c>
      <c r="L19" s="24" t="inlineStr">
        <is>
          <t>Почему амортизация прибавляется обратно?</t>
        </is>
      </c>
      <c r="M19" s="26" t="n"/>
      <c r="N19" s="26" t="n"/>
      <c r="O19" s="27" t="inlineStr">
        <is>
          <t>Не начато</t>
        </is>
      </c>
      <c r="P19" s="27" t="n"/>
      <c r="Q19" s="27" t="n"/>
      <c r="R19" s="27" t="n"/>
      <c r="S19" s="28">
        <f>IF(N19="","",N19+7)</f>
        <v/>
      </c>
    </row>
    <row r="20">
      <c r="A20" s="24" t="n">
        <v>18</v>
      </c>
      <c r="B20" s="24" t="n">
        <v>2</v>
      </c>
      <c r="C20" s="24" t="inlineStr">
        <is>
          <t>Связь трёх отчётов</t>
        </is>
      </c>
      <c r="D20" s="24" t="inlineStr">
        <is>
          <t>Отчёты образуют замкнутый контур</t>
        </is>
      </c>
      <c r="E20" s="24" t="inlineStr">
        <is>
          <t>Модуль 2.3</t>
        </is>
      </c>
      <c r="F20" s="24" t="inlineStr">
        <is>
          <t>Раздел 2.4 учебника</t>
        </is>
      </c>
      <c r="G20" s="24" t="inlineStr"/>
      <c r="H20" s="24" t="inlineStr">
        <is>
          <t>Учебник курса</t>
        </is>
      </c>
      <c r="I20" s="24" t="inlineStr">
        <is>
          <t>Русский</t>
        </is>
      </c>
      <c r="J20" s="24" t="inlineStr">
        <is>
          <t>—</t>
        </is>
      </c>
      <c r="K20" s="24" t="inlineStr">
        <is>
          <t>Нарисовать схему связей трёх отчётов</t>
        </is>
      </c>
      <c r="L20" s="24" t="inlineStr">
        <is>
          <t>Как CapEx связан с PP&amp;E и амортизацией?</t>
        </is>
      </c>
      <c r="M20" s="26" t="n"/>
      <c r="N20" s="26" t="n"/>
      <c r="O20" s="27" t="inlineStr">
        <is>
          <t>Не начато</t>
        </is>
      </c>
      <c r="P20" s="27" t="n"/>
      <c r="Q20" s="27" t="n"/>
      <c r="R20" s="27" t="n"/>
      <c r="S20" s="28">
        <f>IF(N20="","",N20+7)</f>
        <v/>
      </c>
    </row>
    <row r="21">
      <c r="A21" s="24" t="n">
        <v>19</v>
      </c>
      <c r="B21" s="24" t="n">
        <v>2</v>
      </c>
      <c r="C21" s="24" t="inlineStr">
        <is>
          <t>Прибыль ≠ деньги</t>
        </is>
      </c>
      <c r="D21" s="24" t="inlineStr">
        <is>
          <t>Метод начисления и оборотный капитал</t>
        </is>
      </c>
      <c r="E21" s="24" t="inlineStr">
        <is>
          <t>Модуль 2.4</t>
        </is>
      </c>
      <c r="F21" s="24" t="inlineStr">
        <is>
          <t>Раздел 2.5 учебника</t>
        </is>
      </c>
      <c r="G21" s="24" t="inlineStr"/>
      <c r="H21" s="24" t="inlineStr">
        <is>
          <t>Учебник курса</t>
        </is>
      </c>
      <c r="I21" s="24" t="inlineStr">
        <is>
          <t>Русский</t>
        </is>
      </c>
      <c r="J21" s="24" t="inlineStr">
        <is>
          <t>—</t>
        </is>
      </c>
      <c r="K21" s="24" t="inlineStr">
        <is>
          <t>Сравнить Net Income и OCF за 3 года</t>
        </is>
      </c>
      <c r="L21" s="24" t="inlineStr">
        <is>
          <t>Назовите три причины расхождения</t>
        </is>
      </c>
      <c r="M21" s="26" t="n"/>
      <c r="N21" s="26" t="n"/>
      <c r="O21" s="27" t="inlineStr">
        <is>
          <t>Не начато</t>
        </is>
      </c>
      <c r="P21" s="27" t="n"/>
      <c r="Q21" s="27" t="n"/>
      <c r="R21" s="27" t="n"/>
      <c r="S21" s="28">
        <f>IF(N21="","",N21+7)</f>
        <v/>
      </c>
    </row>
    <row r="22">
      <c r="A22" s="24" t="n">
        <v>20</v>
      </c>
      <c r="B22" s="24" t="n">
        <v>2</v>
      </c>
      <c r="C22" s="24" t="inlineStr">
        <is>
          <t>МИНИ-ТЕСТ № 1 (уровни 0–2)</t>
        </is>
      </c>
      <c r="D22" s="24" t="inlineStr">
        <is>
          <t>Проверка перед переходом дальше</t>
        </is>
      </c>
      <c r="E22" s="24" t="inlineStr">
        <is>
          <t>Уровни 0–2</t>
        </is>
      </c>
      <c r="F22" s="24" t="inlineStr">
        <is>
          <t>Учебник, мини-тест № 1</t>
        </is>
      </c>
      <c r="G22" s="24" t="inlineStr"/>
      <c r="H22" s="24" t="inlineStr">
        <is>
          <t>Учебник курса</t>
        </is>
      </c>
      <c r="I22" s="24" t="inlineStr">
        <is>
          <t>Русский</t>
        </is>
      </c>
      <c r="J22" s="24" t="inlineStr">
        <is>
          <t>—</t>
        </is>
      </c>
      <c r="K22" s="24" t="inlineStr">
        <is>
          <t>Пройти письменно, свериться с ответами</t>
        </is>
      </c>
      <c r="L22" s="24" t="inlineStr">
        <is>
          <t>Набрано ли 8 из 10?</t>
        </is>
      </c>
      <c r="M22" s="26" t="n"/>
      <c r="N22" s="26" t="n"/>
      <c r="O22" s="27" t="inlineStr">
        <is>
          <t>Не начато</t>
        </is>
      </c>
      <c r="P22" s="27" t="n"/>
      <c r="Q22" s="27" t="n"/>
      <c r="R22" s="27" t="n"/>
      <c r="S22" s="28">
        <f>IF(N22="","",N22+7)</f>
        <v/>
      </c>
    </row>
    <row r="23">
      <c r="A23" s="24" t="n">
        <v>21</v>
      </c>
      <c r="B23" s="24" t="n">
        <v>3</v>
      </c>
      <c r="C23" s="24" t="inlineStr">
        <is>
          <t>Выручка и темп роста, CAGR</t>
        </is>
      </c>
      <c r="D23" s="24" t="inlineStr">
        <is>
          <t>Из чего состоит рост</t>
        </is>
      </c>
      <c r="E23" s="24" t="inlineStr">
        <is>
          <t>Уровень 2</t>
        </is>
      </c>
      <c r="F23" s="24" t="inlineStr">
        <is>
          <t>Раздел 3.1 учебника</t>
        </is>
      </c>
      <c r="G23" s="24" t="inlineStr"/>
      <c r="H23" s="24" t="inlineStr">
        <is>
          <t>Учебник курса</t>
        </is>
      </c>
      <c r="I23" s="24" t="inlineStr">
        <is>
          <t>Русский</t>
        </is>
      </c>
      <c r="J23" s="24" t="inlineStr">
        <is>
          <t>—</t>
        </is>
      </c>
      <c r="K23" s="24" t="inlineStr">
        <is>
          <t>Посчитать CAGR выручки за 3 года</t>
        </is>
      </c>
      <c r="L23" s="24" t="inlineStr">
        <is>
          <t>Органический рост или поглощения?</t>
        </is>
      </c>
      <c r="M23" s="26" t="n"/>
      <c r="N23" s="26" t="n"/>
      <c r="O23" s="27" t="inlineStr">
        <is>
          <t>Не начато</t>
        </is>
      </c>
      <c r="P23" s="27" t="n"/>
      <c r="Q23" s="27" t="n"/>
      <c r="R23" s="27" t="n"/>
      <c r="S23" s="28">
        <f>IF(N23="","",N23+7)</f>
        <v/>
      </c>
    </row>
    <row r="24">
      <c r="A24" s="24" t="n">
        <v>22</v>
      </c>
      <c r="B24" s="24" t="n">
        <v>3</v>
      </c>
      <c r="C24" s="24" t="inlineStr">
        <is>
          <t>Gross Margin</t>
        </is>
      </c>
      <c r="D24" s="24" t="inlineStr">
        <is>
          <t>Структурная экономика продукта</t>
        </is>
      </c>
      <c r="E24" s="24" t="inlineStr">
        <is>
          <t>Модуль 3.1</t>
        </is>
      </c>
      <c r="F24" s="24" t="inlineStr">
        <is>
          <t>Раздел 3.2 учебника</t>
        </is>
      </c>
      <c r="G24" s="24" t="inlineStr"/>
      <c r="H24" s="24" t="inlineStr">
        <is>
          <t>Учебник курса</t>
        </is>
      </c>
      <c r="I24" s="24" t="inlineStr">
        <is>
          <t>Русский</t>
        </is>
      </c>
      <c r="J24" s="24" t="inlineStr">
        <is>
          <t>—</t>
        </is>
      </c>
      <c r="K24" s="24" t="inlineStr">
        <is>
          <t>Посчитать валовую маржу за 5 лет</t>
        </is>
      </c>
      <c r="L24" s="24" t="inlineStr">
        <is>
          <t>О чём говорит падающая валовая маржа?</t>
        </is>
      </c>
      <c r="M24" s="26" t="n"/>
      <c r="N24" s="26" t="n"/>
      <c r="O24" s="27" t="inlineStr">
        <is>
          <t>Не начато</t>
        </is>
      </c>
      <c r="P24" s="27" t="n"/>
      <c r="Q24" s="27" t="n"/>
      <c r="R24" s="27" t="n"/>
      <c r="S24" s="28">
        <f>IF(N24="","",N24+7)</f>
        <v/>
      </c>
    </row>
    <row r="25">
      <c r="A25" s="24" t="n">
        <v>23</v>
      </c>
      <c r="B25" s="24" t="n">
        <v>3</v>
      </c>
      <c r="C25" s="24" t="inlineStr">
        <is>
          <t>Operating Income и Operating Margin</t>
        </is>
      </c>
      <c r="D25" s="24" t="inlineStr">
        <is>
          <t>Эффективность основного бизнеса</t>
        </is>
      </c>
      <c r="E25" s="24" t="inlineStr">
        <is>
          <t>Модуль 3.2</t>
        </is>
      </c>
      <c r="F25" s="24" t="inlineStr">
        <is>
          <t>Раздел 3.3 учебника</t>
        </is>
      </c>
      <c r="G25" s="24" t="inlineStr"/>
      <c r="H25" s="24" t="inlineStr">
        <is>
          <t>Учебник курса</t>
        </is>
      </c>
      <c r="I25" s="24" t="inlineStr">
        <is>
          <t>Русский</t>
        </is>
      </c>
      <c r="J25" s="24" t="inlineStr">
        <is>
          <t>—</t>
        </is>
      </c>
      <c r="K25" s="24" t="inlineStr">
        <is>
          <t>Из выручки и маржи получить оп. прибыль</t>
        </is>
      </c>
      <c r="L25" s="24" t="inlineStr">
        <is>
          <t>Почему маржу сравнивают внутри отрасли?</t>
        </is>
      </c>
      <c r="M25" s="26" t="n"/>
      <c r="N25" s="26" t="n"/>
      <c r="O25" s="27" t="inlineStr">
        <is>
          <t>Не начато</t>
        </is>
      </c>
      <c r="P25" s="27" t="n"/>
      <c r="Q25" s="27" t="n"/>
      <c r="R25" s="27" t="n"/>
      <c r="S25" s="28">
        <f>IF(N25="","",N25+7)</f>
        <v/>
      </c>
    </row>
    <row r="26">
      <c r="A26" s="24" t="n">
        <v>24</v>
      </c>
      <c r="B26" s="24" t="n">
        <v>3</v>
      </c>
      <c r="C26" s="24" t="inlineStr">
        <is>
          <t>Амортизация: Depreciation и Amortization</t>
        </is>
      </c>
      <c r="D26" s="24" t="inlineStr">
        <is>
          <t>Неденежный, но реальный расход</t>
        </is>
      </c>
      <c r="E26" s="24" t="inlineStr">
        <is>
          <t>Модуль 3.3</t>
        </is>
      </c>
      <c r="F26" s="24" t="inlineStr">
        <is>
          <t>Раздел 3.4 учебника</t>
        </is>
      </c>
      <c r="G26" s="24" t="inlineStr"/>
      <c r="H26" s="24" t="inlineStr">
        <is>
          <t>Учебник курса</t>
        </is>
      </c>
      <c r="I26" s="24" t="inlineStr">
        <is>
          <t>Русский</t>
        </is>
      </c>
      <c r="J26" s="24" t="inlineStr">
        <is>
          <t>—</t>
        </is>
      </c>
      <c r="K26" s="24" t="inlineStr">
        <is>
          <t>Найти D&amp;A в отчёте о движении денег</t>
        </is>
      </c>
      <c r="L26" s="24" t="inlineStr">
        <is>
          <t>Почему «ненастоящий расход» — ошибка?</t>
        </is>
      </c>
      <c r="M26" s="26" t="n"/>
      <c r="N26" s="26" t="n"/>
      <c r="O26" s="27" t="inlineStr">
        <is>
          <t>Не начато</t>
        </is>
      </c>
      <c r="P26" s="27" t="n"/>
      <c r="Q26" s="27" t="n"/>
      <c r="R26" s="27" t="n"/>
      <c r="S26" s="28">
        <f>IF(N26="","",N26+7)</f>
        <v/>
      </c>
    </row>
    <row r="27">
      <c r="A27" s="24" t="n">
        <v>25</v>
      </c>
      <c r="B27" s="24" t="n">
        <v>3</v>
      </c>
      <c r="C27" s="24" t="inlineStr">
        <is>
          <t>EBITDA, EBIT, Adjusted EBITDA</t>
        </is>
      </c>
      <c r="D27" s="24" t="inlineStr">
        <is>
          <t>Что показывает и что скрывает EBITDA</t>
        </is>
      </c>
      <c r="E27" s="24" t="inlineStr">
        <is>
          <t>Модуль 3.4</t>
        </is>
      </c>
      <c r="F27" s="24" t="inlineStr">
        <is>
          <t>Раздел 3.5 учебника</t>
        </is>
      </c>
      <c r="G27" s="24" t="inlineStr"/>
      <c r="H27" s="24" t="inlineStr">
        <is>
          <t>Учебник курса</t>
        </is>
      </c>
      <c r="I27" s="24" t="inlineStr">
        <is>
          <t>Русский</t>
        </is>
      </c>
      <c r="J27" s="24" t="inlineStr">
        <is>
          <t>—</t>
        </is>
      </c>
      <c r="K27" s="24" t="inlineStr">
        <is>
          <t>Посчитать EBITDA двумя способами</t>
        </is>
      </c>
      <c r="L27" s="24" t="inlineStr">
        <is>
          <t>Почему EBITDA не денежный поток?</t>
        </is>
      </c>
      <c r="M27" s="26" t="n"/>
      <c r="N27" s="26" t="n"/>
      <c r="O27" s="27" t="inlineStr">
        <is>
          <t>Не начато</t>
        </is>
      </c>
      <c r="P27" s="27" t="n"/>
      <c r="Q27" s="27" t="n"/>
      <c r="R27" s="27" t="n"/>
      <c r="S27" s="28">
        <f>IF(N27="","",N27+7)</f>
        <v/>
      </c>
    </row>
    <row r="28">
      <c r="A28" s="24" t="n">
        <v>26</v>
      </c>
      <c r="B28" s="24" t="n">
        <v>3</v>
      </c>
      <c r="C28" s="24" t="inlineStr">
        <is>
          <t>Trailing и Forward</t>
        </is>
      </c>
      <c r="D28" s="24" t="inlineStr">
        <is>
          <t>Факт против прогноза</t>
        </is>
      </c>
      <c r="E28" s="24" t="inlineStr">
        <is>
          <t>Модуль 3.5</t>
        </is>
      </c>
      <c r="F28" s="24" t="inlineStr">
        <is>
          <t>Раздел 3.5 учебника</t>
        </is>
      </c>
      <c r="G28" s="24" t="inlineStr"/>
      <c r="H28" s="24" t="inlineStr">
        <is>
          <t>Учебник курса</t>
        </is>
      </c>
      <c r="I28" s="24" t="inlineStr">
        <is>
          <t>Русский</t>
        </is>
      </c>
      <c r="J28" s="24" t="inlineStr">
        <is>
          <t>—</t>
        </is>
      </c>
      <c r="K28" s="24" t="inlineStr">
        <is>
          <t>Найти trailing и forward оценки, пометить тип</t>
        </is>
      </c>
      <c r="L28" s="24" t="inlineStr">
        <is>
          <t>Почему forward всегда «дешевле»?</t>
        </is>
      </c>
      <c r="M28" s="26" t="n"/>
      <c r="N28" s="26" t="n"/>
      <c r="O28" s="27" t="inlineStr">
        <is>
          <t>Не начато</t>
        </is>
      </c>
      <c r="P28" s="27" t="n"/>
      <c r="Q28" s="27" t="n"/>
      <c r="R28" s="27" t="n"/>
      <c r="S28" s="28">
        <f>IF(N28="","",N28+7)</f>
        <v/>
      </c>
    </row>
    <row r="29">
      <c r="A29" s="24" t="n">
        <v>27</v>
      </c>
      <c r="B29" s="24" t="n">
        <v>3</v>
      </c>
      <c r="C29" s="24" t="inlineStr">
        <is>
          <t>EPS и Diluted EPS</t>
        </is>
      </c>
      <c r="D29" s="24" t="inlineStr">
        <is>
          <t>Прибыль на мою долю</t>
        </is>
      </c>
      <c r="E29" s="24" t="inlineStr">
        <is>
          <t>Модуль 0.5</t>
        </is>
      </c>
      <c r="F29" s="24" t="inlineStr">
        <is>
          <t>Khan Academy: Earnings and EPS</t>
        </is>
      </c>
      <c r="G29" s="25" t="inlineStr">
        <is>
          <t>https://www.youtube.com/watch?v=RouNXdkC0do</t>
        </is>
      </c>
      <c r="H29" s="24" t="inlineStr">
        <is>
          <t>Khan Academy</t>
        </is>
      </c>
      <c r="I29" s="24" t="inlineStr">
        <is>
          <t>Английский</t>
        </is>
      </c>
      <c r="J29" s="24" t="inlineStr">
        <is>
          <t>уточнить на странице</t>
        </is>
      </c>
      <c r="K29" s="24" t="inlineStr">
        <is>
          <t>Найти Diluted EPS и динамику акций</t>
        </is>
      </c>
      <c r="L29" s="24" t="inlineStr">
        <is>
          <t>Почему всегда diluted?</t>
        </is>
      </c>
      <c r="M29" s="26" t="n"/>
      <c r="N29" s="26" t="n"/>
      <c r="O29" s="27" t="inlineStr">
        <is>
          <t>Не начато</t>
        </is>
      </c>
      <c r="P29" s="27" t="n"/>
      <c r="Q29" s="27" t="n"/>
      <c r="R29" s="27" t="n"/>
      <c r="S29" s="28">
        <f>IF(N29="","",N29+7)</f>
        <v/>
      </c>
    </row>
    <row r="30">
      <c r="A30" s="24" t="n">
        <v>28</v>
      </c>
      <c r="B30" s="24" t="n">
        <v>3</v>
      </c>
      <c r="C30" s="24" t="inlineStr">
        <is>
          <t>OCF и Free Cash Flow</t>
        </is>
      </c>
      <c r="D30" s="24" t="inlineStr">
        <is>
          <t>Настоящие деньги бизнеса</t>
        </is>
      </c>
      <c r="E30" s="24" t="inlineStr">
        <is>
          <t>Модуль 2.3</t>
        </is>
      </c>
      <c r="F30" s="24" t="inlineStr">
        <is>
          <t>Раздел 3.5 учебника</t>
        </is>
      </c>
      <c r="G30" s="24" t="inlineStr"/>
      <c r="H30" s="24" t="inlineStr">
        <is>
          <t>Учебник курса</t>
        </is>
      </c>
      <c r="I30" s="24" t="inlineStr">
        <is>
          <t>Русский</t>
        </is>
      </c>
      <c r="J30" s="24" t="inlineStr">
        <is>
          <t>—</t>
        </is>
      </c>
      <c r="K30" s="24" t="inlineStr">
        <is>
          <t>Посчитать конверсию FCF/EBITDA</t>
        </is>
      </c>
      <c r="L30" s="24" t="inlineStr">
        <is>
          <t>О чём говорит низкая конверсия?</t>
        </is>
      </c>
      <c r="M30" s="26" t="n"/>
      <c r="N30" s="26" t="n"/>
      <c r="O30" s="27" t="inlineStr">
        <is>
          <t>Не начато</t>
        </is>
      </c>
      <c r="P30" s="27" t="n"/>
      <c r="Q30" s="27" t="n"/>
      <c r="R30" s="27" t="n"/>
      <c r="S30" s="28">
        <f>IF(N30="","",N30+7)</f>
        <v/>
      </c>
    </row>
    <row r="31">
      <c r="A31" s="24" t="n">
        <v>29</v>
      </c>
      <c r="B31" s="24" t="n">
        <v>3</v>
      </c>
      <c r="C31" s="24" t="inlineStr">
        <is>
          <t>ROE, ROA, ROIC</t>
        </is>
      </c>
      <c r="D31" s="24" t="inlineStr">
        <is>
          <t>Качество использования капитала</t>
        </is>
      </c>
      <c r="E31" s="24" t="inlineStr">
        <is>
          <t>Модуль 3.7</t>
        </is>
      </c>
      <c r="F31" s="24" t="inlineStr">
        <is>
          <t>Khan Academy: ROA discussion</t>
        </is>
      </c>
      <c r="G31" s="25" t="inlineStr">
        <is>
          <t>https://www.youtube.com/watch?v=Oh4H3BJX1ZI</t>
        </is>
      </c>
      <c r="H31" s="24" t="inlineStr">
        <is>
          <t>Khan Academy</t>
        </is>
      </c>
      <c r="I31" s="24" t="inlineStr">
        <is>
          <t>Английский</t>
        </is>
      </c>
      <c r="J31" s="24" t="inlineStr">
        <is>
          <t>уточнить на странице</t>
        </is>
      </c>
      <c r="K31" s="24" t="inlineStr">
        <is>
          <t>Посчитать ROIC через NOPAT</t>
        </is>
      </c>
      <c r="L31" s="24" t="inlineStr">
        <is>
          <t>С чем обязательно сравнивать ROIC?</t>
        </is>
      </c>
      <c r="M31" s="26" t="n"/>
      <c r="N31" s="26" t="n"/>
      <c r="O31" s="27" t="inlineStr">
        <is>
          <t>Не начато</t>
        </is>
      </c>
      <c r="P31" s="27" t="n"/>
      <c r="Q31" s="27" t="n"/>
      <c r="R31" s="27" t="n"/>
      <c r="S31" s="28">
        <f>IF(N31="","",N31+7)</f>
        <v/>
      </c>
    </row>
    <row r="32">
      <c r="A32" s="24" t="n">
        <v>30</v>
      </c>
      <c r="B32" s="24" t="n">
        <v>3</v>
      </c>
      <c r="C32" s="24" t="inlineStr">
        <is>
          <t>Долговая нагрузка: Net Debt, Debt/EBITDA</t>
        </is>
      </c>
      <c r="D32" s="24" t="inlineStr">
        <is>
          <t>Долг превращает плохой год в катастрофу</t>
        </is>
      </c>
      <c r="E32" s="24" t="inlineStr">
        <is>
          <t>Модуль 3.8</t>
        </is>
      </c>
      <c r="F32" s="24" t="inlineStr">
        <is>
          <t>Раздел 3.8 учебника</t>
        </is>
      </c>
      <c r="G32" s="24" t="inlineStr"/>
      <c r="H32" s="24" t="inlineStr">
        <is>
          <t>Учебник курса</t>
        </is>
      </c>
      <c r="I32" s="24" t="inlineStr">
        <is>
          <t>Русский</t>
        </is>
      </c>
      <c r="J32" s="24" t="inlineStr">
        <is>
          <t>—</t>
        </is>
      </c>
      <c r="K32" s="24" t="inlineStr">
        <is>
          <t>Посчитать Net Debt и покрытие процентов</t>
        </is>
      </c>
      <c r="L32" s="24" t="inlineStr">
        <is>
          <t>Что означает отрицательный Net Debt?</t>
        </is>
      </c>
      <c r="M32" s="26" t="n"/>
      <c r="N32" s="26" t="n"/>
      <c r="O32" s="27" t="inlineStr">
        <is>
          <t>Не начато</t>
        </is>
      </c>
      <c r="P32" s="27" t="n"/>
      <c r="Q32" s="27" t="n"/>
      <c r="R32" s="27" t="n"/>
      <c r="S32" s="28">
        <f>IF(N32="","",N32+7)</f>
        <v/>
      </c>
    </row>
    <row r="33">
      <c r="A33" s="24" t="n">
        <v>31</v>
      </c>
      <c r="B33" s="24" t="n">
        <v>4</v>
      </c>
      <c r="C33" s="24" t="inlineStr">
        <is>
          <t>Бизнес-модель и источники выручки</t>
        </is>
      </c>
      <c r="D33" s="24" t="inlineStr">
        <is>
          <t>Как компания зарабатывает</t>
        </is>
      </c>
      <c r="E33" s="24" t="inlineStr">
        <is>
          <t>Уровень 3</t>
        </is>
      </c>
      <c r="F33" s="24" t="inlineStr">
        <is>
          <t>Раздел 4.1 учебника</t>
        </is>
      </c>
      <c r="G33" s="24" t="inlineStr"/>
      <c r="H33" s="24" t="inlineStr">
        <is>
          <t>Учебник курса</t>
        </is>
      </c>
      <c r="I33" s="24" t="inlineStr">
        <is>
          <t>Русский</t>
        </is>
      </c>
      <c r="J33" s="24" t="inlineStr">
        <is>
          <t>—</t>
        </is>
      </c>
      <c r="K33" s="24" t="inlineStr">
        <is>
          <t>Описать модель выручки и её предсказуемость</t>
        </is>
      </c>
      <c r="L33" s="24" t="inlineStr">
        <is>
          <t>Чем подписка лучше разовой продажи?</t>
        </is>
      </c>
      <c r="M33" s="26" t="n"/>
      <c r="N33" s="26" t="n"/>
      <c r="O33" s="27" t="inlineStr">
        <is>
          <t>Не начато</t>
        </is>
      </c>
      <c r="P33" s="27" t="n"/>
      <c r="Q33" s="27" t="n"/>
      <c r="R33" s="27" t="n"/>
      <c r="S33" s="28">
        <f>IF(N33="","",N33+7)</f>
        <v/>
      </c>
    </row>
    <row r="34">
      <c r="A34" s="24" t="n">
        <v>32</v>
      </c>
      <c r="B34" s="24" t="n">
        <v>4</v>
      </c>
      <c r="C34" s="24" t="inlineStr">
        <is>
          <t>Moat и конкурентные преимущества</t>
        </is>
      </c>
      <c r="D34" s="24" t="inlineStr">
        <is>
          <t>Что защищает прибыль</t>
        </is>
      </c>
      <c r="E34" s="24" t="inlineStr">
        <is>
          <t>Модуль 4.1</t>
        </is>
      </c>
      <c r="F34" s="24" t="inlineStr">
        <is>
          <t>Раздел 4.2 учебника</t>
        </is>
      </c>
      <c r="G34" s="24" t="inlineStr"/>
      <c r="H34" s="24" t="inlineStr">
        <is>
          <t>Учебник курса</t>
        </is>
      </c>
      <c r="I34" s="24" t="inlineStr">
        <is>
          <t>Русский</t>
        </is>
      </c>
      <c r="J34" s="24" t="inlineStr">
        <is>
          <t>—</t>
        </is>
      </c>
      <c r="K34" s="24" t="inlineStr">
        <is>
          <t>Подтвердить ров цифрами ROIC и маржи</t>
        </is>
      </c>
      <c r="L34" s="24" t="inlineStr">
        <is>
          <t>Как проверить ров количественно?</t>
        </is>
      </c>
      <c r="M34" s="26" t="n"/>
      <c r="N34" s="26" t="n"/>
      <c r="O34" s="27" t="inlineStr">
        <is>
          <t>Не начато</t>
        </is>
      </c>
      <c r="P34" s="27" t="n"/>
      <c r="Q34" s="27" t="n"/>
      <c r="R34" s="27" t="n"/>
      <c r="S34" s="28">
        <f>IF(N34="","",N34+7)</f>
        <v/>
      </c>
    </row>
    <row r="35">
      <c r="A35" s="24" t="n">
        <v>33</v>
      </c>
      <c r="B35" s="24" t="n">
        <v>4</v>
      </c>
      <c r="C35" s="24" t="inlineStr">
        <is>
          <t>TAM, доля рынка, unit economics</t>
        </is>
      </c>
      <c r="D35" s="24" t="inlineStr">
        <is>
          <t>Размер рынка и экономика клиента</t>
        </is>
      </c>
      <c r="E35" s="24" t="inlineStr">
        <is>
          <t>Модуль 4.2</t>
        </is>
      </c>
      <c r="F35" s="24" t="inlineStr">
        <is>
          <t>Раздел 4.3 учебника</t>
        </is>
      </c>
      <c r="G35" s="24" t="inlineStr"/>
      <c r="H35" s="24" t="inlineStr">
        <is>
          <t>Учебник курса</t>
        </is>
      </c>
      <c r="I35" s="24" t="inlineStr">
        <is>
          <t>Русский</t>
        </is>
      </c>
      <c r="J35" s="24" t="inlineStr">
        <is>
          <t>—</t>
        </is>
      </c>
      <c r="K35" s="24" t="inlineStr">
        <is>
          <t>Посчитать LTV/CAC по учебному примеру</t>
        </is>
      </c>
      <c r="L35" s="24" t="inlineStr">
        <is>
          <t>Что если LTV/CAC &lt; 1, а выручка растёт?</t>
        </is>
      </c>
      <c r="M35" s="26" t="n"/>
      <c r="N35" s="26" t="n"/>
      <c r="O35" s="27" t="inlineStr">
        <is>
          <t>Не начато</t>
        </is>
      </c>
      <c r="P35" s="27" t="n"/>
      <c r="Q35" s="27" t="n"/>
      <c r="R35" s="27" t="n"/>
      <c r="S35" s="28">
        <f>IF(N35="","",N35+7)</f>
        <v/>
      </c>
    </row>
    <row r="36">
      <c r="A36" s="24" t="n">
        <v>34</v>
      </c>
      <c r="B36" s="24" t="n">
        <v>4</v>
      </c>
      <c r="C36" s="24" t="inlineStr">
        <is>
          <t>Цикличность, сезонность, концентрация клиентов</t>
        </is>
      </c>
      <c r="D36" s="24" t="inlineStr">
        <is>
          <t>Структурные риски бизнеса</t>
        </is>
      </c>
      <c r="E36" s="24" t="inlineStr">
        <is>
          <t>Модуль 4.3</t>
        </is>
      </c>
      <c r="F36" s="24" t="inlineStr">
        <is>
          <t>Раздел 4.4 учебника</t>
        </is>
      </c>
      <c r="G36" s="24" t="inlineStr"/>
      <c r="H36" s="24" t="inlineStr">
        <is>
          <t>Учебник курса</t>
        </is>
      </c>
      <c r="I36" s="24" t="inlineStr">
        <is>
          <t>Русский</t>
        </is>
      </c>
      <c r="J36" s="24" t="inlineStr">
        <is>
          <t>—</t>
        </is>
      </c>
      <c r="K36" s="24" t="inlineStr">
        <is>
          <t>Найти долю крупнейшего клиента в 10-K</t>
        </is>
      </c>
      <c r="L36" s="24" t="inlineStr">
        <is>
          <t>Почему сравнивают YoY, а не QoQ?</t>
        </is>
      </c>
      <c r="M36" s="26" t="n"/>
      <c r="N36" s="26" t="n"/>
      <c r="O36" s="27" t="inlineStr">
        <is>
          <t>Не начато</t>
        </is>
      </c>
      <c r="P36" s="27" t="n"/>
      <c r="Q36" s="27" t="n"/>
      <c r="R36" s="27" t="n"/>
      <c r="S36" s="28">
        <f>IF(N36="","",N36+7)</f>
        <v/>
      </c>
    </row>
    <row r="37">
      <c r="A37" s="24" t="n">
        <v>35</v>
      </c>
      <c r="B37" s="24" t="n">
        <v>4</v>
      </c>
      <c r="C37" s="24" t="inlineStr">
        <is>
          <t>Менеджмент и аллокация капитала</t>
        </is>
      </c>
      <c r="D37" s="24" t="inlineStr">
        <is>
          <t>Стимулы объясняют поведение</t>
        </is>
      </c>
      <c r="E37" s="24" t="inlineStr">
        <is>
          <t>Модуль 4.4</t>
        </is>
      </c>
      <c r="F37" s="24" t="inlineStr">
        <is>
          <t>Раздел 4.5 учебника</t>
        </is>
      </c>
      <c r="G37" s="24" t="inlineStr"/>
      <c r="H37" s="24" t="inlineStr">
        <is>
          <t>Учебник курса</t>
        </is>
      </c>
      <c r="I37" s="24" t="inlineStr">
        <is>
          <t>Русский</t>
        </is>
      </c>
      <c r="J37" s="24" t="inlineStr">
        <is>
          <t>—</t>
        </is>
      </c>
      <c r="K37" s="24" t="inlineStr">
        <is>
          <t>Сверить обещания 3-летней давности с фактом</t>
        </is>
      </c>
      <c r="L37" s="24" t="inlineStr">
        <is>
          <t>Где искать структуру вознаграждения?</t>
        </is>
      </c>
      <c r="M37" s="26" t="n"/>
      <c r="N37" s="26" t="n"/>
      <c r="O37" s="27" t="inlineStr">
        <is>
          <t>Не начато</t>
        </is>
      </c>
      <c r="P37" s="27" t="n"/>
      <c r="Q37" s="27" t="n"/>
      <c r="R37" s="27" t="n"/>
      <c r="S37" s="28">
        <f>IF(N37="","",N37+7)</f>
        <v/>
      </c>
    </row>
    <row r="38">
      <c r="A38" s="24" t="n">
        <v>36</v>
      </c>
      <c r="B38" s="24" t="n">
        <v>4</v>
      </c>
      <c r="C38" s="24" t="inlineStr">
        <is>
          <t>Признаки ухудшения бизнеса</t>
        </is>
      </c>
      <c r="D38" s="24" t="inlineStr">
        <is>
          <t>Ранние сигналы до плохих новостей</t>
        </is>
      </c>
      <c r="E38" s="24" t="inlineStr">
        <is>
          <t>Модуль 4.5</t>
        </is>
      </c>
      <c r="F38" s="24" t="inlineStr">
        <is>
          <t>Раздел 4.6 учебника</t>
        </is>
      </c>
      <c r="G38" s="24" t="inlineStr"/>
      <c r="H38" s="24" t="inlineStr">
        <is>
          <t>Учебник курса</t>
        </is>
      </c>
      <c r="I38" s="24" t="inlineStr">
        <is>
          <t>Русский</t>
        </is>
      </c>
      <c r="J38" s="24" t="inlineStr">
        <is>
          <t>—</t>
        </is>
      </c>
      <c r="K38" s="24" t="inlineStr">
        <is>
          <t>Пройти список из 10 признаков</t>
        </is>
      </c>
      <c r="L38" s="24" t="inlineStr">
        <is>
          <t>Какие 3 признака самые тревожные?</t>
        </is>
      </c>
      <c r="M38" s="26" t="n"/>
      <c r="N38" s="26" t="n"/>
      <c r="O38" s="27" t="inlineStr">
        <is>
          <t>Не начато</t>
        </is>
      </c>
      <c r="P38" s="27" t="n"/>
      <c r="Q38" s="27" t="n"/>
      <c r="R38" s="27" t="n"/>
      <c r="S38" s="28">
        <f>IF(N38="","",N38+7)</f>
        <v/>
      </c>
    </row>
    <row r="39">
      <c r="A39" s="24" t="n">
        <v>37</v>
      </c>
      <c r="B39" s="24" t="n">
        <v>5</v>
      </c>
      <c r="C39" s="24" t="inlineStr">
        <is>
          <t>Отрасль, конкуренты, цепочка стоимости</t>
        </is>
      </c>
      <c r="D39" s="24" t="inlineStr">
        <is>
          <t>Где концентрируется прибыль</t>
        </is>
      </c>
      <c r="E39" s="24" t="inlineStr">
        <is>
          <t>Уровень 4</t>
        </is>
      </c>
      <c r="F39" s="24" t="inlineStr">
        <is>
          <t>Раздел 5.1 учебника</t>
        </is>
      </c>
      <c r="G39" s="24" t="inlineStr"/>
      <c r="H39" s="24" t="inlineStr">
        <is>
          <t>Учебник курса</t>
        </is>
      </c>
      <c r="I39" s="24" t="inlineStr">
        <is>
          <t>Русский</t>
        </is>
      </c>
      <c r="J39" s="24" t="inlineStr">
        <is>
          <t>—</t>
        </is>
      </c>
      <c r="K39" s="24" t="inlineStr">
        <is>
          <t>Нарисовать цепочку и место компании</t>
        </is>
      </c>
      <c r="L39" s="24" t="inlineStr">
        <is>
          <t>Кто может съесть маржу компании?</t>
        </is>
      </c>
      <c r="M39" s="26" t="n"/>
      <c r="N39" s="26" t="n"/>
      <c r="O39" s="27" t="inlineStr">
        <is>
          <t>Не начато</t>
        </is>
      </c>
      <c r="P39" s="27" t="n"/>
      <c r="Q39" s="27" t="n"/>
      <c r="R39" s="27" t="n"/>
      <c r="S39" s="28">
        <f>IF(N39="","",N39+7)</f>
        <v/>
      </c>
    </row>
    <row r="40">
      <c r="A40" s="24" t="n">
        <v>38</v>
      </c>
      <c r="B40" s="24" t="n">
        <v>5</v>
      </c>
      <c r="C40" s="24" t="inlineStr">
        <is>
          <t>Тип отрасли и структурный рост</t>
        </is>
      </c>
      <c r="D40" s="24" t="inlineStr">
        <is>
          <t>Цикл против структурного сдвига</t>
        </is>
      </c>
      <c r="E40" s="24" t="inlineStr">
        <is>
          <t>Модуль 5.1</t>
        </is>
      </c>
      <c r="F40" s="24" t="inlineStr">
        <is>
          <t>The Plain Bagel (критические разборы)</t>
        </is>
      </c>
      <c r="G40" s="25" t="inlineStr">
        <is>
          <t>https://www.youtube.com/ThePlainBagel</t>
        </is>
      </c>
      <c r="H40" s="24" t="inlineStr">
        <is>
          <t>The Plain Bagel</t>
        </is>
      </c>
      <c r="I40" s="24" t="inlineStr">
        <is>
          <t>Английский</t>
        </is>
      </c>
      <c r="J40" s="24" t="inlineStr">
        <is>
          <t>уточнить на странице</t>
        </is>
      </c>
      <c r="K40" s="24" t="inlineStr">
        <is>
          <t>Определить тип отрасли с обоснованием</t>
        </is>
      </c>
      <c r="L40" s="24" t="inlineStr">
        <is>
          <t>Как отличить бум от структурного роста?</t>
        </is>
      </c>
      <c r="M40" s="26" t="n"/>
      <c r="N40" s="26" t="n"/>
      <c r="O40" s="27" t="inlineStr">
        <is>
          <t>Не начато</t>
        </is>
      </c>
      <c r="P40" s="27" t="n"/>
      <c r="Q40" s="27" t="n"/>
      <c r="R40" s="27" t="n"/>
      <c r="S40" s="28">
        <f>IF(N40="","",N40+7)</f>
        <v/>
      </c>
    </row>
    <row r="41">
      <c r="A41" s="24" t="n">
        <v>39</v>
      </c>
      <c r="B41" s="24" t="n">
        <v>5</v>
      </c>
      <c r="C41" s="24" t="inlineStr">
        <is>
          <t>Сравнительная таблица компаний</t>
        </is>
      </c>
      <c r="D41" s="24" t="inlineStr">
        <is>
          <t>Мультипликатор + рост + маржа + долг</t>
        </is>
      </c>
      <c r="E41" s="24" t="inlineStr">
        <is>
          <t>Модуль 5.2</t>
        </is>
      </c>
      <c r="F41" s="24" t="inlineStr">
        <is>
          <t>Раздел 5.2 учебника</t>
        </is>
      </c>
      <c r="G41" s="24" t="inlineStr"/>
      <c r="H41" s="24" t="inlineStr">
        <is>
          <t>Учебник курса</t>
        </is>
      </c>
      <c r="I41" s="24" t="inlineStr">
        <is>
          <t>Русский</t>
        </is>
      </c>
      <c r="J41" s="24" t="inlineStr">
        <is>
          <t>—</t>
        </is>
      </c>
      <c r="K41" s="24" t="inlineStr">
        <is>
          <t>Заполнить comps-таблицу по 3 компаниям</t>
        </is>
      </c>
      <c r="L41" s="24" t="inlineStr">
        <is>
          <t>Почему EV/EBITDA часто корректнее P/E?</t>
        </is>
      </c>
      <c r="M41" s="26" t="n"/>
      <c r="N41" s="26" t="n"/>
      <c r="O41" s="27" t="inlineStr">
        <is>
          <t>Не начато</t>
        </is>
      </c>
      <c r="P41" s="27" t="n"/>
      <c r="Q41" s="27" t="n"/>
      <c r="R41" s="27" t="n"/>
      <c r="S41" s="28">
        <f>IF(N41="","",N41+7)</f>
        <v/>
      </c>
    </row>
    <row r="42">
      <c r="A42" s="24" t="n">
        <v>40</v>
      </c>
      <c r="B42" s="24" t="n">
        <v>5</v>
      </c>
      <c r="C42" s="24" t="inlineStr">
        <is>
          <t>МИНИ-ТЕСТ № 2 (уровни 3–5)</t>
        </is>
      </c>
      <c r="D42" s="24" t="inlineStr">
        <is>
          <t>Проверка перед оценкой</t>
        </is>
      </c>
      <c r="E42" s="24" t="inlineStr">
        <is>
          <t>Уровни 3–5</t>
        </is>
      </c>
      <c r="F42" s="24" t="inlineStr">
        <is>
          <t>Учебник, мини-тест № 2</t>
        </is>
      </c>
      <c r="G42" s="24" t="inlineStr"/>
      <c r="H42" s="24" t="inlineStr">
        <is>
          <t>Учебник курса</t>
        </is>
      </c>
      <c r="I42" s="24" t="inlineStr">
        <is>
          <t>Русский</t>
        </is>
      </c>
      <c r="J42" s="24" t="inlineStr">
        <is>
          <t>—</t>
        </is>
      </c>
      <c r="K42" s="24" t="inlineStr">
        <is>
          <t>Пройти письменно, свериться с ответами</t>
        </is>
      </c>
      <c r="L42" s="24" t="inlineStr">
        <is>
          <t>Набрано ли 8 из 10?</t>
        </is>
      </c>
      <c r="M42" s="26" t="n"/>
      <c r="N42" s="26" t="n"/>
      <c r="O42" s="27" t="inlineStr">
        <is>
          <t>Не начато</t>
        </is>
      </c>
      <c r="P42" s="27" t="n"/>
      <c r="Q42" s="27" t="n"/>
      <c r="R42" s="27" t="n"/>
      <c r="S42" s="28">
        <f>IF(N42="","",N42+7)</f>
        <v/>
      </c>
    </row>
    <row r="43">
      <c r="A43" s="24" t="n">
        <v>41</v>
      </c>
      <c r="B43" s="24" t="n">
        <v>6</v>
      </c>
      <c r="C43" s="24" t="inlineStr">
        <is>
          <t>Идея мультипликатора</t>
        </is>
      </c>
      <c r="D43" s="24" t="inlineStr">
        <is>
          <t>Сколько лет отдачи вы оплачиваете</t>
        </is>
      </c>
      <c r="E43" s="24" t="inlineStr">
        <is>
          <t>Уровень 5</t>
        </is>
      </c>
      <c r="F43" s="24" t="inlineStr">
        <is>
          <t>Раздел 6.1 учебника</t>
        </is>
      </c>
      <c r="G43" s="24" t="inlineStr"/>
      <c r="H43" s="24" t="inlineStr">
        <is>
          <t>Учебник курса</t>
        </is>
      </c>
      <c r="I43" s="24" t="inlineStr">
        <is>
          <t>Русский</t>
        </is>
      </c>
      <c r="J43" s="24" t="inlineStr">
        <is>
          <t>—</t>
        </is>
      </c>
      <c r="K43" s="24" t="inlineStr">
        <is>
          <t>Объяснить мультипликатор бытовым примером</t>
        </is>
      </c>
      <c r="L43" s="24" t="inlineStr">
        <is>
          <t>Высокий мультипликатор — это плохо?</t>
        </is>
      </c>
      <c r="M43" s="26" t="n"/>
      <c r="N43" s="26" t="n"/>
      <c r="O43" s="27" t="inlineStr">
        <is>
          <t>Не начато</t>
        </is>
      </c>
      <c r="P43" s="27" t="n"/>
      <c r="Q43" s="27" t="n"/>
      <c r="R43" s="27" t="n"/>
      <c r="S43" s="28">
        <f>IF(N43="","",N43+7)</f>
        <v/>
      </c>
    </row>
    <row r="44">
      <c r="A44" s="24" t="n">
        <v>42</v>
      </c>
      <c r="B44" s="24" t="n">
        <v>6</v>
      </c>
      <c r="C44" s="24" t="inlineStr">
        <is>
          <t>Enterprise Value</t>
        </is>
      </c>
      <c r="D44" s="24" t="inlineStr">
        <is>
          <t>Цена бизнеса с долгом, без денег</t>
        </is>
      </c>
      <c r="E44" s="24" t="inlineStr">
        <is>
          <t>Модуль 6.1</t>
        </is>
      </c>
      <c r="F44" s="24" t="inlineStr">
        <is>
          <t>Investopedia: Enterprise Value</t>
        </is>
      </c>
      <c r="G44" s="25" t="inlineStr">
        <is>
          <t>https://www.youtube.com/watch?v=c8HdwcRlWZk</t>
        </is>
      </c>
      <c r="H44" s="24" t="inlineStr">
        <is>
          <t>Investopedia</t>
        </is>
      </c>
      <c r="I44" s="24" t="inlineStr">
        <is>
          <t>Английский</t>
        </is>
      </c>
      <c r="J44" s="24" t="inlineStr">
        <is>
          <t>уточнить на странице</t>
        </is>
      </c>
      <c r="K44" s="24" t="inlineStr">
        <is>
          <t>Посчитать EV трёх компаний</t>
        </is>
      </c>
      <c r="L44" s="24" t="inlineStr">
        <is>
          <t>Почему нельзя делить EV на чистую прибыль?</t>
        </is>
      </c>
      <c r="M44" s="26" t="n"/>
      <c r="N44" s="26" t="n"/>
      <c r="O44" s="27" t="inlineStr">
        <is>
          <t>Не начато</t>
        </is>
      </c>
      <c r="P44" s="27" t="n"/>
      <c r="Q44" s="27" t="n"/>
      <c r="R44" s="27" t="n"/>
      <c r="S44" s="28">
        <f>IF(N44="","",N44+7)</f>
        <v/>
      </c>
    </row>
    <row r="45">
      <c r="A45" s="24" t="n">
        <v>43</v>
      </c>
      <c r="B45" s="24" t="n">
        <v>6</v>
      </c>
      <c r="C45" s="24" t="inlineStr">
        <is>
          <t>P/E, Forward P/E, Trailing P/E</t>
        </is>
      </c>
      <c r="D45" s="24" t="inlineStr">
        <is>
          <t>Цена за доллар прибыли</t>
        </is>
      </c>
      <c r="E45" s="24" t="inlineStr">
        <is>
          <t>Модуль 6.2</t>
        </is>
      </c>
      <c r="F45" s="24" t="inlineStr">
        <is>
          <t>Khan Academy: P/E discussion</t>
        </is>
      </c>
      <c r="G45" s="25" t="inlineStr">
        <is>
          <t>https://www.youtube.com/watch?v=V-rko8jgJ9o</t>
        </is>
      </c>
      <c r="H45" s="24" t="inlineStr">
        <is>
          <t>Khan Academy</t>
        </is>
      </c>
      <c r="I45" s="24" t="inlineStr">
        <is>
          <t>Английский</t>
        </is>
      </c>
      <c r="J45" s="24" t="inlineStr">
        <is>
          <t>уточнить на странице</t>
        </is>
      </c>
      <c r="K45" s="24" t="inlineStr">
        <is>
          <t>Посчитать P/E двух конкурентов</t>
        </is>
      </c>
      <c r="L45" s="24" t="inlineStr">
        <is>
          <t>Когда P/E бесполезен?</t>
        </is>
      </c>
      <c r="M45" s="26" t="n"/>
      <c r="N45" s="26" t="n"/>
      <c r="O45" s="27" t="inlineStr">
        <is>
          <t>Не начато</t>
        </is>
      </c>
      <c r="P45" s="27" t="n"/>
      <c r="Q45" s="27" t="n"/>
      <c r="R45" s="27" t="n"/>
      <c r="S45" s="28">
        <f>IF(N45="","",N45+7)</f>
        <v/>
      </c>
    </row>
    <row r="46">
      <c r="A46" s="24" t="n">
        <v>44</v>
      </c>
      <c r="B46" s="24" t="n">
        <v>6</v>
      </c>
      <c r="C46" s="24" t="inlineStr">
        <is>
          <t>EV/EBITDA, P/S, EV/Sales, P/FCF, PEG</t>
        </is>
      </c>
      <c r="D46" s="24" t="inlineStr">
        <is>
          <t>Набор инструментов и их границы</t>
        </is>
      </c>
      <c r="E46" s="24" t="inlineStr">
        <is>
          <t>Модуль 6.3</t>
        </is>
      </c>
      <c r="F46" s="24" t="inlineStr">
        <is>
          <t>Раздел 6.3 учебника</t>
        </is>
      </c>
      <c r="G46" s="24" t="inlineStr"/>
      <c r="H46" s="24" t="inlineStr">
        <is>
          <t>Учебник курса</t>
        </is>
      </c>
      <c r="I46" s="24" t="inlineStr">
        <is>
          <t>Русский</t>
        </is>
      </c>
      <c r="J46" s="24" t="inlineStr">
        <is>
          <t>—</t>
        </is>
      </c>
      <c r="K46" s="24" t="inlineStr">
        <is>
          <t>Посчитать 4 мультипликатора по компании</t>
        </is>
      </c>
      <c r="L46" s="24" t="inlineStr">
        <is>
          <t>Какой мультипликатор для убыточной компании?</t>
        </is>
      </c>
      <c r="M46" s="26" t="n"/>
      <c r="N46" s="26" t="n"/>
      <c r="O46" s="27" t="inlineStr">
        <is>
          <t>Не начато</t>
        </is>
      </c>
      <c r="P46" s="27" t="n"/>
      <c r="Q46" s="27" t="n"/>
      <c r="R46" s="27" t="n"/>
      <c r="S46" s="28">
        <f>IF(N46="","",N46+7)</f>
        <v/>
      </c>
    </row>
    <row r="47">
      <c r="A47" s="24" t="n">
        <v>45</v>
      </c>
      <c r="B47" s="24" t="n">
        <v>6</v>
      </c>
      <c r="C47" s="24" t="inlineStr">
        <is>
          <t>РАЗБОР ВИДЕО: расчёты по Marvell</t>
        </is>
      </c>
      <c r="D47" s="24" t="inlineStr">
        <is>
          <t>1 трлн ÷ 875 млн; 16,5 × 40%; EV/EBITDA 145×</t>
        </is>
      </c>
      <c r="E47" s="24" t="inlineStr">
        <is>
          <t>Модуль 6.4</t>
        </is>
      </c>
      <c r="F47" s="24" t="inlineStr">
        <is>
          <t>Раздел 6.4 учебника (задачи 1–7)</t>
        </is>
      </c>
      <c r="G47" s="24" t="inlineStr"/>
      <c r="H47" s="24" t="inlineStr">
        <is>
          <t>Учебник курса</t>
        </is>
      </c>
      <c r="I47" s="24" t="inlineStr">
        <is>
          <t>Русский</t>
        </is>
      </c>
      <c r="J47" s="24" t="inlineStr">
        <is>
          <t>—</t>
        </is>
      </c>
      <c r="K47" s="24" t="inlineStr">
        <is>
          <t>Повторить все 7 задач самостоятельно</t>
        </is>
      </c>
      <c r="L47" s="24" t="inlineStr">
        <is>
          <t>Какой рост в год закладывает цена?</t>
        </is>
      </c>
      <c r="M47" s="26" t="n"/>
      <c r="N47" s="26" t="n"/>
      <c r="O47" s="27" t="inlineStr">
        <is>
          <t>Не начато</t>
        </is>
      </c>
      <c r="P47" s="27" t="n"/>
      <c r="Q47" s="27" t="n"/>
      <c r="R47" s="27" t="n"/>
      <c r="S47" s="28">
        <f>IF(N47="","",N47+7)</f>
        <v/>
      </c>
    </row>
    <row r="48">
      <c r="A48" s="24" t="n">
        <v>46</v>
      </c>
      <c r="B48" s="24" t="n">
        <v>6</v>
      </c>
      <c r="C48" s="24" t="inlineStr">
        <is>
          <t>Обратный расчёт и риск оптимизма</t>
        </is>
      </c>
      <c r="D48" s="24" t="inlineStr">
        <is>
          <t>Какие допущения оправдывают цену</t>
        </is>
      </c>
      <c r="E48" s="24" t="inlineStr">
        <is>
          <t>Модуль 6.5</t>
        </is>
      </c>
      <c r="F48" s="24" t="inlineStr">
        <is>
          <t>Раздел 6.4, задача 7</t>
        </is>
      </c>
      <c r="G48" s="24" t="inlineStr"/>
      <c r="H48" s="24" t="inlineStr">
        <is>
          <t>Учебник курса</t>
        </is>
      </c>
      <c r="I48" s="24" t="inlineStr">
        <is>
          <t>Русский</t>
        </is>
      </c>
      <c r="J48" s="24" t="inlineStr">
        <is>
          <t>—</t>
        </is>
      </c>
      <c r="K48" s="24" t="inlineStr">
        <is>
          <t>Сделать инверсию по своей компании</t>
        </is>
      </c>
      <c r="L48" s="24" t="inlineStr">
        <is>
          <t>Что такое valuation risk?</t>
        </is>
      </c>
      <c r="M48" s="26" t="n"/>
      <c r="N48" s="26" t="n"/>
      <c r="O48" s="27" t="inlineStr">
        <is>
          <t>Не начато</t>
        </is>
      </c>
      <c r="P48" s="27" t="n"/>
      <c r="Q48" s="27" t="n"/>
      <c r="R48" s="27" t="n"/>
      <c r="S48" s="28">
        <f>IF(N48="","",N48+7)</f>
        <v/>
      </c>
    </row>
    <row r="49">
      <c r="A49" s="24" t="n">
        <v>47</v>
      </c>
      <c r="B49" s="24" t="n">
        <v>7</v>
      </c>
      <c r="C49" s="24" t="inlineStr">
        <is>
          <t>Приведённая стоимость</t>
        </is>
      </c>
      <c r="D49" s="24" t="inlineStr">
        <is>
          <t>Деньги сегодня дороже денег завтра</t>
        </is>
      </c>
      <c r="E49" s="24" t="inlineStr">
        <is>
          <t>Уровень 6</t>
        </is>
      </c>
      <c r="F49" s="24" t="inlineStr">
        <is>
          <t>MIT 15.401 Finance Theory I</t>
        </is>
      </c>
      <c r="G49" s="25" t="inlineStr">
        <is>
          <t>https://www.youtube.com/playlist?list=PLUl4u3cNGP63B2lDhyKOsImI7FjCf6eDW</t>
        </is>
      </c>
      <c r="H49" s="24" t="inlineStr">
        <is>
          <t>MIT OpenCourseWare</t>
        </is>
      </c>
      <c r="I49" s="24" t="inlineStr">
        <is>
          <t>Английский</t>
        </is>
      </c>
      <c r="J49" s="24" t="inlineStr">
        <is>
          <t>уточнить на странице</t>
        </is>
      </c>
      <c r="K49" s="24" t="inlineStr">
        <is>
          <t>Посчитать PV суммы через 5 лет</t>
        </is>
      </c>
      <c r="L49" s="24" t="inlineStr">
        <is>
          <t>Почему будущее дисконтируют?</t>
        </is>
      </c>
      <c r="M49" s="26" t="n"/>
      <c r="N49" s="26" t="n"/>
      <c r="O49" s="27" t="inlineStr">
        <is>
          <t>Не начато</t>
        </is>
      </c>
      <c r="P49" s="27" t="n"/>
      <c r="Q49" s="27" t="n"/>
      <c r="R49" s="27" t="n"/>
      <c r="S49" s="28">
        <f>IF(N49="","",N49+7)</f>
        <v/>
      </c>
    </row>
    <row r="50">
      <c r="A50" s="24" t="n">
        <v>48</v>
      </c>
      <c r="B50" s="24" t="n">
        <v>7</v>
      </c>
      <c r="C50" s="24" t="inlineStr">
        <is>
          <t>WACC и стоимость капитала</t>
        </is>
      </c>
      <c r="D50" s="24" t="inlineStr">
        <is>
          <t>Минимальная планка доходности</t>
        </is>
      </c>
      <c r="E50" s="24" t="inlineStr">
        <is>
          <t>Модуль 7.1</t>
        </is>
      </c>
      <c r="F50" s="24" t="inlineStr">
        <is>
          <t>Damodaran on Valuation</t>
        </is>
      </c>
      <c r="G50" s="25" t="inlineStr">
        <is>
          <t>https://www.youtube.com/playlist?list=PLeBox1GIuOW_7LAvk-Iz-Vm5luPJhu6_H</t>
        </is>
      </c>
      <c r="H50" s="24" t="inlineStr">
        <is>
          <t>Aswath Damodaran</t>
        </is>
      </c>
      <c r="I50" s="24" t="inlineStr">
        <is>
          <t>Английский</t>
        </is>
      </c>
      <c r="J50" s="24" t="inlineStr">
        <is>
          <t>уточнить на странице</t>
        </is>
      </c>
      <c r="K50" s="24" t="inlineStr">
        <is>
          <t>Посчитать WACC по формуле с обоснованием</t>
        </is>
      </c>
      <c r="L50" s="24" t="inlineStr">
        <is>
          <t>Почему ROIC сравнивают с WACC?</t>
        </is>
      </c>
      <c r="M50" s="26" t="n"/>
      <c r="N50" s="26" t="n"/>
      <c r="O50" s="27" t="inlineStr">
        <is>
          <t>Не начато</t>
        </is>
      </c>
      <c r="P50" s="27" t="n"/>
      <c r="Q50" s="27" t="n"/>
      <c r="R50" s="27" t="n"/>
      <c r="S50" s="28">
        <f>IF(N50="","",N50+7)</f>
        <v/>
      </c>
    </row>
    <row r="51">
      <c r="A51" s="24" t="n">
        <v>49</v>
      </c>
      <c r="B51" s="24" t="n">
        <v>7</v>
      </c>
      <c r="C51" s="24" t="inlineStr">
        <is>
          <t>DCF-модель</t>
        </is>
      </c>
      <c r="D51" s="24" t="inlineStr">
        <is>
          <t>Стоимость = сумма дисконтированных потоков</t>
        </is>
      </c>
      <c r="E51" s="24" t="inlineStr">
        <is>
          <t>Модуль 7.2</t>
        </is>
      </c>
      <c r="F51" s="24" t="inlineStr">
        <is>
          <t>Раздел 7.4 учебника</t>
        </is>
      </c>
      <c r="G51" s="24" t="inlineStr"/>
      <c r="H51" s="24" t="inlineStr">
        <is>
          <t>Учебник курса</t>
        </is>
      </c>
      <c r="I51" s="24" t="inlineStr">
        <is>
          <t>Русский</t>
        </is>
      </c>
      <c r="J51" s="24" t="inlineStr">
        <is>
          <t>—</t>
        </is>
      </c>
      <c r="K51" s="24" t="inlineStr">
        <is>
          <t>Построить DCF на 5 лет построчно</t>
        </is>
      </c>
      <c r="L51" s="24" t="inlineStr">
        <is>
          <t>Какова доля терминальной стоимости?</t>
        </is>
      </c>
      <c r="M51" s="26" t="n"/>
      <c r="N51" s="26" t="n"/>
      <c r="O51" s="27" t="inlineStr">
        <is>
          <t>Не начато</t>
        </is>
      </c>
      <c r="P51" s="27" t="n"/>
      <c r="Q51" s="27" t="n"/>
      <c r="R51" s="27" t="n"/>
      <c r="S51" s="28">
        <f>IF(N51="","",N51+7)</f>
        <v/>
      </c>
    </row>
    <row r="52">
      <c r="A52" s="24" t="n">
        <v>50</v>
      </c>
      <c r="B52" s="24" t="n">
        <v>7</v>
      </c>
      <c r="C52" s="24" t="inlineStr">
        <is>
          <t>Сценарии и чувствительность</t>
        </is>
      </c>
      <c r="D52" s="24" t="inlineStr">
        <is>
          <t>Диапазон вместо одной цифры</t>
        </is>
      </c>
      <c r="E52" s="24" t="inlineStr">
        <is>
          <t>Модуль 7.3</t>
        </is>
      </c>
      <c r="F52" s="24" t="inlineStr">
        <is>
          <t>Раздел 7.5–7.6 учебника</t>
        </is>
      </c>
      <c r="G52" s="24" t="inlineStr"/>
      <c r="H52" s="24" t="inlineStr">
        <is>
          <t>Учебник курса</t>
        </is>
      </c>
      <c r="I52" s="24" t="inlineStr">
        <is>
          <t>Русский</t>
        </is>
      </c>
      <c r="J52" s="24" t="inlineStr">
        <is>
          <t>—</t>
        </is>
      </c>
      <c r="K52" s="24" t="inlineStr">
        <is>
          <t>Построить таблицу чувствительности 3×3</t>
        </is>
      </c>
      <c r="L52" s="24" t="inlineStr">
        <is>
          <t>Насколько результат зависит от WACC?</t>
        </is>
      </c>
      <c r="M52" s="26" t="n"/>
      <c r="N52" s="26" t="n"/>
      <c r="O52" s="27" t="inlineStr">
        <is>
          <t>Не начато</t>
        </is>
      </c>
      <c r="P52" s="27" t="n"/>
      <c r="Q52" s="27" t="n"/>
      <c r="R52" s="27" t="n"/>
      <c r="S52" s="28">
        <f>IF(N52="","",N52+7)</f>
        <v/>
      </c>
    </row>
    <row r="53">
      <c r="A53" s="24" t="n">
        <v>51</v>
      </c>
      <c r="B53" s="24" t="n">
        <v>7</v>
      </c>
      <c r="C53" s="24" t="inlineStr">
        <is>
          <t>Margin of Safety</t>
        </is>
      </c>
      <c r="D53" s="24" t="inlineStr">
        <is>
          <t>Запас прочности против ошибки</t>
        </is>
      </c>
      <c r="E53" s="24" t="inlineStr">
        <is>
          <t>Модуль 7.4</t>
        </is>
      </c>
      <c r="F53" s="24" t="inlineStr">
        <is>
          <t>Раздел 7.7 учебника</t>
        </is>
      </c>
      <c r="G53" s="24" t="inlineStr"/>
      <c r="H53" s="24" t="inlineStr">
        <is>
          <t>Учебник курса</t>
        </is>
      </c>
      <c r="I53" s="24" t="inlineStr">
        <is>
          <t>Русский</t>
        </is>
      </c>
      <c r="J53" s="24" t="inlineStr">
        <is>
          <t>—</t>
        </is>
      </c>
      <c r="K53" s="24" t="inlineStr">
        <is>
          <t>Определить целевую цену с запасом 30%</t>
        </is>
      </c>
      <c r="L53" s="24" t="inlineStr">
        <is>
          <t>От чего зависит размер запаса?</t>
        </is>
      </c>
      <c r="M53" s="26" t="n"/>
      <c r="N53" s="26" t="n"/>
      <c r="O53" s="27" t="inlineStr">
        <is>
          <t>Не начато</t>
        </is>
      </c>
      <c r="P53" s="27" t="n"/>
      <c r="Q53" s="27" t="n"/>
      <c r="R53" s="27" t="n"/>
      <c r="S53" s="28">
        <f>IF(N53="","",N53+7)</f>
        <v/>
      </c>
    </row>
    <row r="54">
      <c r="A54" s="24" t="n">
        <v>52</v>
      </c>
      <c r="B54" s="24" t="n">
        <v>7</v>
      </c>
      <c r="C54" s="24" t="inlineStr">
        <is>
          <t>МИНИ-ТЕСТ № 3 (уровни 6–7)</t>
        </is>
      </c>
      <c r="D54" s="24" t="inlineStr">
        <is>
          <t>Проверка перед первичкой</t>
        </is>
      </c>
      <c r="E54" s="24" t="inlineStr">
        <is>
          <t>Уровни 6–7</t>
        </is>
      </c>
      <c r="F54" s="24" t="inlineStr">
        <is>
          <t>Учебник, мини-тест № 3</t>
        </is>
      </c>
      <c r="G54" s="24" t="inlineStr"/>
      <c r="H54" s="24" t="inlineStr">
        <is>
          <t>Учебник курса</t>
        </is>
      </c>
      <c r="I54" s="24" t="inlineStr">
        <is>
          <t>Русский</t>
        </is>
      </c>
      <c r="J54" s="24" t="inlineStr">
        <is>
          <t>—</t>
        </is>
      </c>
      <c r="K54" s="24" t="inlineStr">
        <is>
          <t>Пройти письменно, свериться с ответами</t>
        </is>
      </c>
      <c r="L54" s="24" t="inlineStr">
        <is>
          <t>Набрано ли 8 из 10?</t>
        </is>
      </c>
      <c r="M54" s="26" t="n"/>
      <c r="N54" s="26" t="n"/>
      <c r="O54" s="27" t="inlineStr">
        <is>
          <t>Не начато</t>
        </is>
      </c>
      <c r="P54" s="27" t="n"/>
      <c r="Q54" s="27" t="n"/>
      <c r="R54" s="27" t="n"/>
      <c r="S54" s="28">
        <f>IF(N54="","",N54+7)</f>
        <v/>
      </c>
    </row>
    <row r="55">
      <c r="A55" s="24" t="n">
        <v>53</v>
      </c>
      <c r="B55" s="24" t="n">
        <v>8</v>
      </c>
      <c r="C55" s="24" t="inlineStr">
        <is>
          <t>Первоисточники: 10-K, 10-Q, 8-K, DEF 14A</t>
        </is>
      </c>
      <c r="D55" s="24" t="inlineStr">
        <is>
          <t>Где брать проверяемые данные</t>
        </is>
      </c>
      <c r="E55" s="24" t="inlineStr">
        <is>
          <t>Уровень 7</t>
        </is>
      </c>
      <c r="F55" s="24" t="inlineStr">
        <is>
          <t>SEC EDGAR полнотекстовый поиск</t>
        </is>
      </c>
      <c r="G55" s="25" t="inlineStr">
        <is>
          <t>https://www.sec.gov/edgar/search/</t>
        </is>
      </c>
      <c r="H55" s="24" t="inlineStr">
        <is>
          <t>U.S. SEC</t>
        </is>
      </c>
      <c r="I55" s="24" t="inlineStr">
        <is>
          <t>Английский</t>
        </is>
      </c>
      <c r="J55" s="24" t="inlineStr">
        <is>
          <t>уточнить на странице</t>
        </is>
      </c>
      <c r="K55" s="24" t="inlineStr">
        <is>
          <t>Найти 3 документа по своей компании</t>
        </is>
      </c>
      <c r="L55" s="24" t="inlineStr">
        <is>
          <t>Чем 10-K отличается от презентации?</t>
        </is>
      </c>
      <c r="M55" s="26" t="n"/>
      <c r="N55" s="26" t="n"/>
      <c r="O55" s="27" t="inlineStr">
        <is>
          <t>Не начато</t>
        </is>
      </c>
      <c r="P55" s="27" t="n"/>
      <c r="Q55" s="27" t="n"/>
      <c r="R55" s="27" t="n"/>
      <c r="S55" s="28">
        <f>IF(N55="","",N55+7)</f>
        <v/>
      </c>
    </row>
    <row r="56">
      <c r="A56" s="24" t="n">
        <v>54</v>
      </c>
      <c r="B56" s="24" t="n">
        <v>8</v>
      </c>
      <c r="C56" s="24" t="inlineStr">
        <is>
          <t>Как читать 10-K за 45 минут</t>
        </is>
      </c>
      <c r="D56" s="24" t="inlineStr">
        <is>
          <t>Item 1, 1A, 7, 8 и примечания</t>
        </is>
      </c>
      <c r="E56" s="24" t="inlineStr">
        <is>
          <t>Модуль 8.1</t>
        </is>
      </c>
      <c r="F56" s="24" t="inlineStr">
        <is>
          <t>SEC: How to Read a 10-K</t>
        </is>
      </c>
      <c r="G56" s="25" t="inlineStr">
        <is>
          <t>https://www.sec.gov/files/reada10k.pdf</t>
        </is>
      </c>
      <c r="H56" s="24" t="inlineStr">
        <is>
          <t>U.S. SEC</t>
        </is>
      </c>
      <c r="I56" s="24" t="inlineStr">
        <is>
          <t>Английский</t>
        </is>
      </c>
      <c r="J56" s="24" t="inlineStr">
        <is>
          <t>уточнить на странице</t>
        </is>
      </c>
      <c r="K56" s="24" t="inlineStr">
        <is>
          <t>Разобрать один 10-K по структуре</t>
        </is>
      </c>
      <c r="L56" s="24" t="inlineStr">
        <is>
          <t>Почему примечания важнее таблиц?</t>
        </is>
      </c>
      <c r="M56" s="26" t="n"/>
      <c r="N56" s="26" t="n"/>
      <c r="O56" s="27" t="inlineStr">
        <is>
          <t>Не начато</t>
        </is>
      </c>
      <c r="P56" s="27" t="n"/>
      <c r="Q56" s="27" t="n"/>
      <c r="R56" s="27" t="n"/>
      <c r="S56" s="28">
        <f>IF(N56="","",N56+7)</f>
        <v/>
      </c>
    </row>
    <row r="57">
      <c r="A57" s="24" t="n">
        <v>55</v>
      </c>
      <c r="B57" s="24" t="n">
        <v>8</v>
      </c>
      <c r="C57" s="24" t="inlineStr">
        <is>
          <t>Реклама против проверяемых данных</t>
        </is>
      </c>
      <c r="D57" s="24" t="inlineStr">
        <is>
          <t>Как проверять формулировки компании</t>
        </is>
      </c>
      <c r="E57" s="24" t="inlineStr">
        <is>
          <t>Модуль 8.2</t>
        </is>
      </c>
      <c r="F57" s="24" t="inlineStr">
        <is>
          <t>Раздел 8.3 учебника</t>
        </is>
      </c>
      <c r="G57" s="24" t="inlineStr"/>
      <c r="H57" s="24" t="inlineStr">
        <is>
          <t>Учебник курса</t>
        </is>
      </c>
      <c r="I57" s="24" t="inlineStr">
        <is>
          <t>Русский</t>
        </is>
      </c>
      <c r="J57" s="24" t="inlineStr">
        <is>
          <t>—</t>
        </is>
      </c>
      <c r="K57" s="24" t="inlineStr">
        <is>
          <t>Проверить 5 утверждений из пресс-релиза</t>
        </is>
      </c>
      <c r="L57" s="24" t="inlineStr">
        <is>
          <t>Как проверить заявленный TAM?</t>
        </is>
      </c>
      <c r="M57" s="26" t="n"/>
      <c r="N57" s="26" t="n"/>
      <c r="O57" s="27" t="inlineStr">
        <is>
          <t>Не начато</t>
        </is>
      </c>
      <c r="P57" s="27" t="n"/>
      <c r="Q57" s="27" t="n"/>
      <c r="R57" s="27" t="n"/>
      <c r="S57" s="28">
        <f>IF(N57="","",N57+7)</f>
        <v/>
      </c>
    </row>
    <row r="58">
      <c r="A58" s="24" t="n">
        <v>56</v>
      </c>
      <c r="B58" s="24" t="n">
        <v>8</v>
      </c>
      <c r="C58" s="24" t="inlineStr">
        <is>
          <t>Earnings call и список вопросов</t>
        </is>
      </c>
      <c r="D58" s="24" t="inlineStr">
        <is>
          <t>Q&amp;A информативнее речи</t>
        </is>
      </c>
      <c r="E58" s="24" t="inlineStr">
        <is>
          <t>Модуль 8.3</t>
        </is>
      </c>
      <c r="F58" s="24" t="inlineStr">
        <is>
          <t>Раздел 8.4–8.5 учебника</t>
        </is>
      </c>
      <c r="G58" s="24" t="inlineStr"/>
      <c r="H58" s="24" t="inlineStr">
        <is>
          <t>Учебник курса</t>
        </is>
      </c>
      <c r="I58" s="24" t="inlineStr">
        <is>
          <t>Русский</t>
        </is>
      </c>
      <c r="J58" s="24" t="inlineStr">
        <is>
          <t>—</t>
        </is>
      </c>
      <c r="K58" s="24" t="inlineStr">
        <is>
          <t>Выписать 3 уклончивых ответа менеджмента</t>
        </is>
      </c>
      <c r="L58" s="24" t="inlineStr">
        <is>
          <t>Какой вопрос задавали повторно?</t>
        </is>
      </c>
      <c r="M58" s="26" t="n"/>
      <c r="N58" s="26" t="n"/>
      <c r="O58" s="27" t="inlineStr">
        <is>
          <t>Не начато</t>
        </is>
      </c>
      <c r="P58" s="27" t="n"/>
      <c r="Q58" s="27" t="n"/>
      <c r="R58" s="27" t="n"/>
      <c r="S58" s="28">
        <f>IF(N58="","",N58+7)</f>
        <v/>
      </c>
    </row>
    <row r="59">
      <c r="A59" s="24" t="n">
        <v>57</v>
      </c>
      <c r="B59" s="24" t="n">
        <v>9</v>
      </c>
      <c r="C59" s="24" t="inlineStr">
        <is>
          <t>Карта рисков</t>
        </is>
      </c>
      <c r="D59" s="24" t="inlineStr">
        <is>
          <t>Вероятность, влияние, индикатор</t>
        </is>
      </c>
      <c r="E59" s="24" t="inlineStr">
        <is>
          <t>Уровень 8</t>
        </is>
      </c>
      <c r="F59" s="24" t="inlineStr">
        <is>
          <t>Раздел 9.2 учебника</t>
        </is>
      </c>
      <c r="G59" s="24" t="inlineStr"/>
      <c r="H59" s="24" t="inlineStr">
        <is>
          <t>Учебник курса</t>
        </is>
      </c>
      <c r="I59" s="24" t="inlineStr">
        <is>
          <t>Русский</t>
        </is>
      </c>
      <c r="J59" s="24" t="inlineStr">
        <is>
          <t>—</t>
        </is>
      </c>
      <c r="K59" s="24" t="inlineStr">
        <is>
          <t>Заполнить карту рисков по компании</t>
        </is>
      </c>
      <c r="L59" s="24" t="inlineStr">
        <is>
          <t>Какой риск критический?</t>
        </is>
      </c>
      <c r="M59" s="26" t="n"/>
      <c r="N59" s="26" t="n"/>
      <c r="O59" s="27" t="inlineStr">
        <is>
          <t>Не начато</t>
        </is>
      </c>
      <c r="P59" s="27" t="n"/>
      <c r="Q59" s="27" t="n"/>
      <c r="R59" s="27" t="n"/>
      <c r="S59" s="28">
        <f>IF(N59="","",N59+7)</f>
        <v/>
      </c>
    </row>
    <row r="60">
      <c r="A60" s="24" t="n">
        <v>58</v>
      </c>
      <c r="B60" s="24" t="n">
        <v>9</v>
      </c>
      <c r="C60" s="24" t="inlineStr">
        <is>
          <t>Медвежий сценарий количественно</t>
        </is>
      </c>
      <c r="D60" s="24" t="inlineStr">
        <is>
          <t>Рост × маржа × мультипликатор</t>
        </is>
      </c>
      <c r="E60" s="24" t="inlineStr">
        <is>
          <t>Модуль 9.1</t>
        </is>
      </c>
      <c r="F60" s="24" t="inlineStr">
        <is>
          <t>Раздел 9.3 учебника</t>
        </is>
      </c>
      <c r="G60" s="24" t="inlineStr"/>
      <c r="H60" s="24" t="inlineStr">
        <is>
          <t>Учебник курса</t>
        </is>
      </c>
      <c r="I60" s="24" t="inlineStr">
        <is>
          <t>Русский</t>
        </is>
      </c>
      <c r="J60" s="24" t="inlineStr">
        <is>
          <t>—</t>
        </is>
      </c>
      <c r="K60" s="24" t="inlineStr">
        <is>
          <t>Посчитать цену в медвежьем сценарии</t>
        </is>
      </c>
      <c r="L60" s="24" t="inlineStr">
        <is>
          <t>Почему эффекты перемножаются?</t>
        </is>
      </c>
      <c r="M60" s="26" t="n"/>
      <c r="N60" s="26" t="n"/>
      <c r="O60" s="27" t="inlineStr">
        <is>
          <t>Не начато</t>
        </is>
      </c>
      <c r="P60" s="27" t="n"/>
      <c r="Q60" s="27" t="n"/>
      <c r="R60" s="27" t="n"/>
      <c r="S60" s="28">
        <f>IF(N60="","",N60+7)</f>
        <v/>
      </c>
    </row>
    <row r="61">
      <c r="A61" s="24" t="n">
        <v>59</v>
      </c>
      <c r="B61" s="24" t="n">
        <v>9</v>
      </c>
      <c r="C61" s="24" t="inlineStr">
        <is>
          <t>Условия опровержения тезиса</t>
        </is>
      </c>
      <c r="D61" s="24" t="inlineStr">
        <is>
          <t>Решение принимается заранее</t>
        </is>
      </c>
      <c r="E61" s="24" t="inlineStr">
        <is>
          <t>Модуль 9.2</t>
        </is>
      </c>
      <c r="F61" s="24" t="inlineStr">
        <is>
          <t>Раздел 9.4 учебника</t>
        </is>
      </c>
      <c r="G61" s="24" t="inlineStr"/>
      <c r="H61" s="24" t="inlineStr">
        <is>
          <t>Учебник курса</t>
        </is>
      </c>
      <c r="I61" s="24" t="inlineStr">
        <is>
          <t>Русский</t>
        </is>
      </c>
      <c r="J61" s="24" t="inlineStr">
        <is>
          <t>—</t>
        </is>
      </c>
      <c r="K61" s="24" t="inlineStr">
        <is>
          <t>Сформулировать 5 измеримых условий</t>
        </is>
      </c>
      <c r="L61" s="24" t="inlineStr">
        <is>
          <t>Что я сделаю при их наступлении?</t>
        </is>
      </c>
      <c r="M61" s="26" t="n"/>
      <c r="N61" s="26" t="n"/>
      <c r="O61" s="27" t="inlineStr">
        <is>
          <t>Не начато</t>
        </is>
      </c>
      <c r="P61" s="27" t="n"/>
      <c r="Q61" s="27" t="n"/>
      <c r="R61" s="27" t="n"/>
      <c r="S61" s="28">
        <f>IF(N61="","",N61+7)</f>
        <v/>
      </c>
    </row>
    <row r="62">
      <c r="A62" s="24" t="n">
        <v>60</v>
      </c>
      <c r="B62" s="24" t="n">
        <v>10</v>
      </c>
      <c r="C62" s="24" t="inlineStr">
        <is>
          <t>Диверсификация и корреляция</t>
        </is>
      </c>
      <c r="D62" s="24" t="inlineStr">
        <is>
          <t>Почему 10 акций одной отрасли — не защита</t>
        </is>
      </c>
      <c r="E62" s="24" t="inlineStr">
        <is>
          <t>Уровень 9</t>
        </is>
      </c>
      <c r="F62" s="24" t="inlineStr">
        <is>
          <t>Rational Reminder (Ben Felix)</t>
        </is>
      </c>
      <c r="G62" s="25" t="inlineStr">
        <is>
          <t>https://www.youtube.com/@rationalreminder</t>
        </is>
      </c>
      <c r="H62" s="24" t="inlineStr">
        <is>
          <t>Rational Reminder</t>
        </is>
      </c>
      <c r="I62" s="24" t="inlineStr">
        <is>
          <t>Английский</t>
        </is>
      </c>
      <c r="J62" s="24" t="inlineStr">
        <is>
          <t>уточнить на странице</t>
        </is>
      </c>
      <c r="K62" s="24" t="inlineStr">
        <is>
          <t>Оценить корреляцию своих позиций</t>
        </is>
      </c>
      <c r="L62" s="24" t="inlineStr">
        <is>
          <t>Какой риск диверсификация не убирает?</t>
        </is>
      </c>
      <c r="M62" s="26" t="n"/>
      <c r="N62" s="26" t="n"/>
      <c r="O62" s="27" t="inlineStr">
        <is>
          <t>Не начато</t>
        </is>
      </c>
      <c r="P62" s="27" t="n"/>
      <c r="Q62" s="27" t="n"/>
      <c r="R62" s="27" t="n"/>
      <c r="S62" s="28">
        <f>IF(N62="","",N62+7)</f>
        <v/>
      </c>
    </row>
    <row r="63">
      <c r="A63" s="24" t="n">
        <v>61</v>
      </c>
      <c r="B63" s="24" t="n">
        <v>10</v>
      </c>
      <c r="C63" s="24" t="inlineStr">
        <is>
          <t>Размер позиции и асимметрия потерь</t>
        </is>
      </c>
      <c r="D63" s="24" t="inlineStr">
        <is>
          <t>После −50% нужен +100%</t>
        </is>
      </c>
      <c r="E63" s="24" t="inlineStr">
        <is>
          <t>Модуль 10.1</t>
        </is>
      </c>
      <c r="F63" s="24" t="inlineStr">
        <is>
          <t>Раздел 10.2 учебника</t>
        </is>
      </c>
      <c r="G63" s="24" t="inlineStr"/>
      <c r="H63" s="24" t="inlineStr">
        <is>
          <t>Учебник курса</t>
        </is>
      </c>
      <c r="I63" s="24" t="inlineStr">
        <is>
          <t>Русский</t>
        </is>
      </c>
      <c r="J63" s="24" t="inlineStr">
        <is>
          <t>—</t>
        </is>
      </c>
      <c r="K63" s="24" t="inlineStr">
        <is>
          <t>Посчитать восстановление после −25/−40/−60%</t>
        </is>
      </c>
      <c r="L63" s="24" t="inlineStr">
        <is>
          <t>От чего зависит размер позиции?</t>
        </is>
      </c>
      <c r="M63" s="26" t="n"/>
      <c r="N63" s="26" t="n"/>
      <c r="O63" s="27" t="inlineStr">
        <is>
          <t>Не начато</t>
        </is>
      </c>
      <c r="P63" s="27" t="n"/>
      <c r="Q63" s="27" t="n"/>
      <c r="R63" s="27" t="n"/>
      <c r="S63" s="28">
        <f>IF(N63="","",N63+7)</f>
        <v/>
      </c>
    </row>
    <row r="64">
      <c r="A64" s="24" t="n">
        <v>62</v>
      </c>
      <c r="B64" s="24" t="n">
        <v>10</v>
      </c>
      <c r="C64" s="24" t="inlineStr">
        <is>
          <t>Сложный процент и инфляция</t>
        </is>
      </c>
      <c r="D64" s="24" t="inlineStr">
        <is>
          <t>Время — главный ресурс</t>
        </is>
      </c>
      <c r="E64" s="24" t="inlineStr">
        <is>
          <t>Модуль 10.2</t>
        </is>
      </c>
      <c r="F64" s="24" t="inlineStr">
        <is>
          <t>Раздел 10.4 учебника</t>
        </is>
      </c>
      <c r="G64" s="24" t="inlineStr"/>
      <c r="H64" s="24" t="inlineStr">
        <is>
          <t>Учебник курса</t>
        </is>
      </c>
      <c r="I64" s="24" t="inlineStr">
        <is>
          <t>Русский</t>
        </is>
      </c>
      <c r="J64" s="24" t="inlineStr">
        <is>
          <t>—</t>
        </is>
      </c>
      <c r="K64" s="24" t="inlineStr">
        <is>
          <t>Посчитать рост капитала за 10/20/30 лет</t>
        </is>
      </c>
      <c r="L64" s="24" t="inlineStr">
        <is>
          <t>Что такое реальная доходность?</t>
        </is>
      </c>
      <c r="M64" s="26" t="n"/>
      <c r="N64" s="26" t="n"/>
      <c r="O64" s="27" t="inlineStr">
        <is>
          <t>Не начато</t>
        </is>
      </c>
      <c r="P64" s="27" t="n"/>
      <c r="Q64" s="27" t="n"/>
      <c r="R64" s="27" t="n"/>
      <c r="S64" s="28">
        <f>IF(N64="","",N64+7)</f>
        <v/>
      </c>
    </row>
    <row r="65">
      <c r="A65" s="24" t="n">
        <v>63</v>
      </c>
      <c r="B65" s="24" t="n">
        <v>10</v>
      </c>
      <c r="C65" s="24" t="inlineStr">
        <is>
          <t>Поведенческие ошибки</t>
        </is>
      </c>
      <c r="D65" s="24" t="inlineStr">
        <is>
          <t>Письменный процесс как защита</t>
        </is>
      </c>
      <c r="E65" s="24" t="inlineStr">
        <is>
          <t>Модуль 10.3</t>
        </is>
      </c>
      <c r="F65" s="24" t="inlineStr">
        <is>
          <t>Rational Reminder (Ben Felix)</t>
        </is>
      </c>
      <c r="G65" s="25" t="inlineStr">
        <is>
          <t>https://www.youtube.com/@rationalreminder</t>
        </is>
      </c>
      <c r="H65" s="24" t="inlineStr">
        <is>
          <t>Rational Reminder</t>
        </is>
      </c>
      <c r="I65" s="24" t="inlineStr">
        <is>
          <t>Английский</t>
        </is>
      </c>
      <c r="J65" s="24" t="inlineStr">
        <is>
          <t>уточнить на странице</t>
        </is>
      </c>
      <c r="K65" s="24" t="inlineStr">
        <is>
          <t>Выписать 5 своих слабостей и противоядия</t>
        </is>
      </c>
      <c r="L65" s="24" t="inlineStr">
        <is>
          <t>Как бороться с confirmation bias?</t>
        </is>
      </c>
      <c r="M65" s="26" t="n"/>
      <c r="N65" s="26" t="n"/>
      <c r="O65" s="27" t="inlineStr">
        <is>
          <t>Не начато</t>
        </is>
      </c>
      <c r="P65" s="27" t="n"/>
      <c r="Q65" s="27" t="n"/>
      <c r="R65" s="27" t="n"/>
      <c r="S65" s="28">
        <f>IF(N65="","",N65+7)</f>
        <v/>
      </c>
    </row>
    <row r="66">
      <c r="A66" s="24" t="n">
        <v>64</v>
      </c>
      <c r="B66" s="24" t="n">
        <v>11</v>
      </c>
      <c r="C66" s="24" t="inlineStr">
        <is>
          <t>Тренд, поддержка, сопротивление, объём</t>
        </is>
      </c>
      <c r="D66" s="24" t="inlineStr">
        <is>
          <t>Что описывает график</t>
        </is>
      </c>
      <c r="E66" s="24" t="inlineStr">
        <is>
          <t>Уровень 10</t>
        </is>
      </c>
      <c r="F66" s="24" t="inlineStr">
        <is>
          <t>Раздел 11.2 учебника</t>
        </is>
      </c>
      <c r="G66" s="24" t="inlineStr"/>
      <c r="H66" s="24" t="inlineStr">
        <is>
          <t>Учебник курса</t>
        </is>
      </c>
      <c r="I66" s="24" t="inlineStr">
        <is>
          <t>Русский</t>
        </is>
      </c>
      <c r="J66" s="24" t="inlineStr">
        <is>
          <t>—</t>
        </is>
      </c>
      <c r="K66" s="24" t="inlineStr">
        <is>
          <t>Отметить зоны на графике за 5 лет</t>
        </is>
      </c>
      <c r="L66" s="24" t="inlineStr">
        <is>
          <t>Почему это зоны, а не линии?</t>
        </is>
      </c>
      <c r="M66" s="26" t="n"/>
      <c r="N66" s="26" t="n"/>
      <c r="O66" s="27" t="inlineStr">
        <is>
          <t>Не начато</t>
        </is>
      </c>
      <c r="P66" s="27" t="n"/>
      <c r="Q66" s="27" t="n"/>
      <c r="R66" s="27" t="n"/>
      <c r="S66" s="28">
        <f>IF(N66="","",N66+7)</f>
        <v/>
      </c>
    </row>
    <row r="67">
      <c r="A67" s="24" t="n">
        <v>65</v>
      </c>
      <c r="B67" s="24" t="n">
        <v>11</v>
      </c>
      <c r="C67" s="24" t="inlineStr">
        <is>
          <t>Скользящие средние, RSI, MACD</t>
        </is>
      </c>
      <c r="D67" s="24" t="inlineStr">
        <is>
          <t>Индикаторы запаздывают</t>
        </is>
      </c>
      <c r="E67" s="24" t="inlineStr">
        <is>
          <t>Модуль 11.1</t>
        </is>
      </c>
      <c r="F67" s="24" t="inlineStr">
        <is>
          <t>Раздел 11.2 учебника</t>
        </is>
      </c>
      <c r="G67" s="24" t="inlineStr"/>
      <c r="H67" s="24" t="inlineStr">
        <is>
          <t>Учебник курса</t>
        </is>
      </c>
      <c r="I67" s="24" t="inlineStr">
        <is>
          <t>Русский</t>
        </is>
      </c>
      <c r="J67" s="24" t="inlineStr">
        <is>
          <t>—</t>
        </is>
      </c>
      <c r="K67" s="24" t="inlineStr">
        <is>
          <t>Найти 2 случая RSI &gt; 70 и результат</t>
        </is>
      </c>
      <c r="L67" s="24" t="inlineStr">
        <is>
          <t>Почему RSI &gt; 70 не сигнал к продаже?</t>
        </is>
      </c>
      <c r="M67" s="26" t="n"/>
      <c r="N67" s="26" t="n"/>
      <c r="O67" s="27" t="inlineStr">
        <is>
          <t>Не начато</t>
        </is>
      </c>
      <c r="P67" s="27" t="n"/>
      <c r="Q67" s="27" t="n"/>
      <c r="R67" s="27" t="n"/>
      <c r="S67" s="28">
        <f>IF(N67="","",N67+7)</f>
        <v/>
      </c>
    </row>
    <row r="68">
      <c r="A68" s="24" t="n">
        <v>66</v>
      </c>
      <c r="B68" s="24" t="n">
        <v>11</v>
      </c>
      <c r="C68" s="24" t="inlineStr">
        <is>
          <t>Риск-менеджмент и размер позиции</t>
        </is>
      </c>
      <c r="D68" s="24" t="inlineStr">
        <is>
          <t>Единственная бесспорно полезная часть</t>
        </is>
      </c>
      <c r="E68" s="24" t="inlineStr">
        <is>
          <t>Модуль 11.2</t>
        </is>
      </c>
      <c r="F68" s="24" t="inlineStr">
        <is>
          <t>Раздел 11.3 учебника</t>
        </is>
      </c>
      <c r="G68" s="24" t="inlineStr"/>
      <c r="H68" s="24" t="inlineStr">
        <is>
          <t>Учебник курса</t>
        </is>
      </c>
      <c r="I68" s="24" t="inlineStr">
        <is>
          <t>Русский</t>
        </is>
      </c>
      <c r="J68" s="24" t="inlineStr">
        <is>
          <t>—</t>
        </is>
      </c>
      <c r="K68" s="24" t="inlineStr">
        <is>
          <t>Посчитать размер позиции от риска 1% и 2%</t>
        </is>
      </c>
      <c r="L68" s="24" t="inlineStr">
        <is>
          <t>Как считается размер позиции?</t>
        </is>
      </c>
      <c r="M68" s="26" t="n"/>
      <c r="N68" s="26" t="n"/>
      <c r="O68" s="27" t="inlineStr">
        <is>
          <t>Не начато</t>
        </is>
      </c>
      <c r="P68" s="27" t="n"/>
      <c r="Q68" s="27" t="n"/>
      <c r="R68" s="27" t="n"/>
      <c r="S68" s="28">
        <f>IF(N68="","",N68+7)</f>
        <v/>
      </c>
    </row>
    <row r="69">
      <c r="A69" s="24" t="n">
        <v>67</v>
      </c>
      <c r="B69" s="24" t="n">
        <v>12</v>
      </c>
      <c r="C69" s="24" t="inlineStr">
        <is>
          <t>Структура полного разбора (17 разделов)</t>
        </is>
      </c>
      <c r="D69" s="24" t="inlineStr">
        <is>
          <t>Сборка всех уровней вместе</t>
        </is>
      </c>
      <c r="E69" s="24" t="inlineStr">
        <is>
          <t>Уровни 0–11</t>
        </is>
      </c>
      <c r="F69" s="24" t="inlineStr">
        <is>
          <t>Раздел 12.1 учебника</t>
        </is>
      </c>
      <c r="G69" s="24" t="inlineStr"/>
      <c r="H69" s="24" t="inlineStr">
        <is>
          <t>Учебник курса</t>
        </is>
      </c>
      <c r="I69" s="24" t="inlineStr">
        <is>
          <t>Русский</t>
        </is>
      </c>
      <c r="J69" s="24" t="inlineStr">
        <is>
          <t>—</t>
        </is>
      </c>
      <c r="K69" s="24" t="inlineStr">
        <is>
          <t>Заполнить лист Company Analysis целиком</t>
        </is>
      </c>
      <c r="L69" s="24" t="inlineStr">
        <is>
          <t>Все ли 17 разделов заполнены?</t>
        </is>
      </c>
      <c r="M69" s="26" t="n"/>
      <c r="N69" s="26" t="n"/>
      <c r="O69" s="27" t="inlineStr">
        <is>
          <t>Не начато</t>
        </is>
      </c>
      <c r="P69" s="27" t="n"/>
      <c r="Q69" s="27" t="n"/>
      <c r="R69" s="27" t="n"/>
      <c r="S69" s="28">
        <f>IF(N69="","",N69+7)</f>
        <v/>
      </c>
    </row>
    <row r="70">
      <c r="A70" s="24" t="n">
        <v>68</v>
      </c>
      <c r="B70" s="24" t="n">
        <v>12</v>
      </c>
      <c r="C70" s="24" t="inlineStr">
        <is>
          <t>Формулировка инвестиционного тезиса</t>
        </is>
      </c>
      <c r="D70" s="24" t="inlineStr">
        <is>
          <t>Проверяемое утверждение с числами</t>
        </is>
      </c>
      <c r="E70" s="24" t="inlineStr">
        <is>
          <t>Модуль 12.1</t>
        </is>
      </c>
      <c r="F70" s="24" t="inlineStr">
        <is>
          <t>Раздел 12.2 учебника</t>
        </is>
      </c>
      <c r="G70" s="24" t="inlineStr"/>
      <c r="H70" s="24" t="inlineStr">
        <is>
          <t>Учебник курса</t>
        </is>
      </c>
      <c r="I70" s="24" t="inlineStr">
        <is>
          <t>Русский</t>
        </is>
      </c>
      <c r="J70" s="24" t="inlineStr">
        <is>
          <t>—</t>
        </is>
      </c>
      <c r="K70" s="24" t="inlineStr">
        <is>
          <t>Написать тезис в одном предложении</t>
        </is>
      </c>
      <c r="L70" s="24" t="inlineStr">
        <is>
          <t>Чем хороший тезис отличается от плохого?</t>
        </is>
      </c>
      <c r="M70" s="26" t="n"/>
      <c r="N70" s="26" t="n"/>
      <c r="O70" s="27" t="inlineStr">
        <is>
          <t>Не начато</t>
        </is>
      </c>
      <c r="P70" s="27" t="n"/>
      <c r="Q70" s="27" t="n"/>
      <c r="R70" s="27" t="n"/>
      <c r="S70" s="28">
        <f>IF(N70="","",N70+7)</f>
        <v/>
      </c>
    </row>
    <row r="71">
      <c r="A71" s="24" t="n">
        <v>69</v>
      </c>
      <c r="B71" s="24" t="n">
        <v>12</v>
      </c>
      <c r="C71" s="24" t="inlineStr">
        <is>
          <t>ИТОГОВЫЙ РАЗБОР КОМПАНИИ</t>
        </is>
      </c>
      <c r="D71" s="24" t="inlineStr">
        <is>
          <t>Полный разбор на 5+ страниц</t>
        </is>
      </c>
      <c r="E71" s="24" t="inlineStr">
        <is>
          <t>Модуль 12.2</t>
        </is>
      </c>
      <c r="F71" s="24" t="inlineStr">
        <is>
          <t>Раздел 12.3 учебника + чек-лист</t>
        </is>
      </c>
      <c r="G71" s="24" t="inlineStr"/>
      <c r="H71" s="24" t="inlineStr">
        <is>
          <t>Учебник курса</t>
        </is>
      </c>
      <c r="I71" s="24" t="inlineStr">
        <is>
          <t>Русский</t>
        </is>
      </c>
      <c r="J71" s="24" t="inlineStr">
        <is>
          <t>—</t>
        </is>
      </c>
      <c r="K71" s="24" t="inlineStr">
        <is>
          <t>Подготовить полный разбор и внести в журнал</t>
        </is>
      </c>
      <c r="L71" s="24" t="inlineStr">
        <is>
          <t>Что опровергнет мой тезис?</t>
        </is>
      </c>
      <c r="M71" s="26" t="n"/>
      <c r="N71" s="26" t="n"/>
      <c r="O71" s="27" t="inlineStr">
        <is>
          <t>Не начато</t>
        </is>
      </c>
      <c r="P71" s="27" t="n"/>
      <c r="Q71" s="27" t="n"/>
      <c r="R71" s="27" t="n"/>
      <c r="S71" s="28">
        <f>IF(N71="","",N71+7)</f>
        <v/>
      </c>
    </row>
    <row r="72">
      <c r="A72" s="24" t="n">
        <v>70</v>
      </c>
      <c r="B72" s="24" t="n">
        <v>12</v>
      </c>
      <c r="C72" s="24" t="inlineStr">
        <is>
          <t>МИНИ-ТЕСТ № 4 (уровни 8–12)</t>
        </is>
      </c>
      <c r="D72" s="24" t="inlineStr">
        <is>
          <t>Финальная проверка</t>
        </is>
      </c>
      <c r="E72" s="24" t="inlineStr">
        <is>
          <t>Уровни 8–12</t>
        </is>
      </c>
      <c r="F72" s="24" t="inlineStr">
        <is>
          <t>Учебник, мини-тест № 4</t>
        </is>
      </c>
      <c r="G72" s="24" t="inlineStr"/>
      <c r="H72" s="24" t="inlineStr">
        <is>
          <t>Учебник курса</t>
        </is>
      </c>
      <c r="I72" s="24" t="inlineStr">
        <is>
          <t>Русский</t>
        </is>
      </c>
      <c r="J72" s="24" t="inlineStr">
        <is>
          <t>—</t>
        </is>
      </c>
      <c r="K72" s="24" t="inlineStr">
        <is>
          <t>Пройти письменно, свериться с ответами</t>
        </is>
      </c>
      <c r="L72" s="24" t="inlineStr">
        <is>
          <t>Набрано ли 8 из 10?</t>
        </is>
      </c>
      <c r="M72" s="26" t="n"/>
      <c r="N72" s="26" t="n"/>
      <c r="O72" s="27" t="inlineStr">
        <is>
          <t>Не начато</t>
        </is>
      </c>
      <c r="P72" s="27" t="n"/>
      <c r="Q72" s="27" t="n"/>
      <c r="R72" s="27" t="n"/>
      <c r="S72" s="28">
        <f>IF(N72="","",N72+7)</f>
        <v/>
      </c>
    </row>
  </sheetData>
  <autoFilter ref="A2:S2"/>
  <conditionalFormatting sqref="O3:O72">
    <cfRule type="cellIs" priority="1" operator="equal" dxfId="0">
      <formula>"Завершено"</formula>
    </cfRule>
    <cfRule type="cellIs" priority="2" operator="equal" dxfId="1">
      <formula>"В процессе"</formula>
    </cfRule>
    <cfRule type="cellIs" priority="3" operator="equal" dxfId="2">
      <formula>"Повторить"</formula>
    </cfRule>
  </conditionalFormatting>
  <dataValidations count="2">
    <dataValidation sqref="O3:O122" showDropDown="0" showInputMessage="0" showErrorMessage="0" allowBlank="1" type="list">
      <formula1>"Не начато,В процессе,Завершено,Повторить"</formula1>
    </dataValidation>
    <dataValidation sqref="P3:P122" showDropDown="0" showInputMessage="0" showErrorMessage="0" allowBlank="1" type="list">
      <formula1>"0,1,2,3,4,5"</formula1>
    </dataValidation>
  </dataValidations>
  <hyperlinks>
    <hyperlink xmlns:r="http://schemas.openxmlformats.org/officeDocument/2006/relationships" ref="G3" r:id="rId1"/>
    <hyperlink xmlns:r="http://schemas.openxmlformats.org/officeDocument/2006/relationships" ref="G5" r:id="rId2"/>
    <hyperlink xmlns:r="http://schemas.openxmlformats.org/officeDocument/2006/relationships" ref="G8" r:id="rId3"/>
    <hyperlink xmlns:r="http://schemas.openxmlformats.org/officeDocument/2006/relationships" ref="G10" r:id="rId4"/>
    <hyperlink xmlns:r="http://schemas.openxmlformats.org/officeDocument/2006/relationships" ref="G13" r:id="rId5"/>
    <hyperlink xmlns:r="http://schemas.openxmlformats.org/officeDocument/2006/relationships" ref="G17" r:id="rId6"/>
    <hyperlink xmlns:r="http://schemas.openxmlformats.org/officeDocument/2006/relationships" ref="G18" r:id="rId7"/>
    <hyperlink xmlns:r="http://schemas.openxmlformats.org/officeDocument/2006/relationships" ref="G29" r:id="rId8"/>
    <hyperlink xmlns:r="http://schemas.openxmlformats.org/officeDocument/2006/relationships" ref="G31" r:id="rId9"/>
    <hyperlink xmlns:r="http://schemas.openxmlformats.org/officeDocument/2006/relationships" ref="G40" r:id="rId10"/>
    <hyperlink xmlns:r="http://schemas.openxmlformats.org/officeDocument/2006/relationships" ref="G44" r:id="rId11"/>
    <hyperlink xmlns:r="http://schemas.openxmlformats.org/officeDocument/2006/relationships" ref="G45" r:id="rId12"/>
    <hyperlink xmlns:r="http://schemas.openxmlformats.org/officeDocument/2006/relationships" ref="G49" r:id="rId13"/>
    <hyperlink xmlns:r="http://schemas.openxmlformats.org/officeDocument/2006/relationships" ref="G50" r:id="rId14"/>
    <hyperlink xmlns:r="http://schemas.openxmlformats.org/officeDocument/2006/relationships" ref="G55" r:id="rId15"/>
    <hyperlink xmlns:r="http://schemas.openxmlformats.org/officeDocument/2006/relationships" ref="G56" r:id="rId16"/>
    <hyperlink xmlns:r="http://schemas.openxmlformats.org/officeDocument/2006/relationships" ref="G62" r:id="rId17"/>
    <hyperlink xmlns:r="http://schemas.openxmlformats.org/officeDocument/2006/relationships" ref="G65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2" customWidth="1" min="3" max="3"/>
    <col width="30" customWidth="1" min="4" max="4"/>
    <col width="34" customWidth="1" min="5" max="5"/>
    <col width="12" customWidth="1" min="6" max="6"/>
    <col width="34" customWidth="1" min="7" max="7"/>
    <col width="13" customWidth="1" min="8" max="8"/>
    <col width="14" customWidth="1" min="9" max="9"/>
  </cols>
  <sheetData>
    <row r="1">
      <c r="A1" s="1" t="inlineStr">
        <is>
          <t>Glossary / Словарь терминов</t>
        </is>
      </c>
      <c r="C1" s="2" t="inlineStr">
        <is>
          <t>Заполняйте синие колонки H и I. Термины можно добавлять своими строками — формулы Dashboard подхватят их автоматически.</t>
        </is>
      </c>
    </row>
    <row r="2" ht="34" customHeight="1">
      <c r="A2" s="23" t="inlineStr">
        <is>
          <t>Термин (English)</t>
        </is>
      </c>
      <c r="B2" s="23" t="inlineStr">
        <is>
          <t>Перевод</t>
        </is>
      </c>
      <c r="C2" s="23" t="inlineStr">
        <is>
          <t>Простое объяснение</t>
        </is>
      </c>
      <c r="D2" s="23" t="inlineStr">
        <is>
          <t>Формула</t>
        </is>
      </c>
      <c r="E2" s="23" t="inlineStr">
        <is>
          <t>Пример</t>
        </is>
      </c>
      <c r="F2" s="23" t="inlineStr">
        <is>
          <t>Глава курса</t>
        </is>
      </c>
      <c r="G2" s="23" t="inlineStr">
        <is>
          <t>Ссылка на учебный материал</t>
        </is>
      </c>
      <c r="H2" s="23" t="inlineStr">
        <is>
          <t>Понял ли я (0-5)</t>
        </is>
      </c>
      <c r="I2" s="23" t="inlineStr">
        <is>
          <t>Дата повторения</t>
        </is>
      </c>
    </row>
    <row r="3">
      <c r="A3" s="24" t="inlineStr">
        <is>
          <t>Market Capitalization</t>
        </is>
      </c>
      <c r="B3" s="24" t="inlineStr">
        <is>
          <t>Рыночная капитализация</t>
        </is>
      </c>
      <c r="C3" s="24" t="inlineStr">
        <is>
          <t>Стоимость всех акций компании по текущей цене</t>
        </is>
      </c>
      <c r="D3" s="24" t="inlineStr">
        <is>
          <t>Цена × Число акций</t>
        </is>
      </c>
      <c r="E3" s="24" t="inlineStr">
        <is>
          <t>1 трлн $ ÷ 875 млн акций ≈ 1 143 $ за акцию [условие задачи из видео]</t>
        </is>
      </c>
      <c r="F3" s="24" t="inlineStr">
        <is>
          <t>0.6</t>
        </is>
      </c>
      <c r="G3" s="24" t="inlineStr">
        <is>
          <t>Учебник: «Анализ акций», раздел 0.6</t>
        </is>
      </c>
      <c r="H3" s="29" t="n"/>
      <c r="I3" s="30" t="n"/>
    </row>
    <row r="4">
      <c r="A4" s="24" t="inlineStr">
        <is>
          <t>Shares Outstanding</t>
        </is>
      </c>
      <c r="B4" s="24" t="inlineStr">
        <is>
          <t>Акции в обращении</t>
        </is>
      </c>
      <c r="C4" s="24" t="inlineStr">
        <is>
          <t>Сколько всего долей компании существует</t>
        </is>
      </c>
      <c r="D4" s="24" t="inlineStr">
        <is>
          <t>Выпущенные − казначейские</t>
        </is>
      </c>
      <c r="E4" s="24" t="inlineStr">
        <is>
          <t>Смотреть на обложке 10-Q</t>
        </is>
      </c>
      <c r="F4" s="24" t="inlineStr">
        <is>
          <t>0.5</t>
        </is>
      </c>
      <c r="G4" s="24" t="inlineStr">
        <is>
          <t>Учебник: «Анализ акций», раздел 0.5</t>
        </is>
      </c>
      <c r="H4" s="29" t="n"/>
      <c r="I4" s="30" t="n"/>
    </row>
    <row r="5">
      <c r="A5" s="24" t="inlineStr">
        <is>
          <t>Diluted Shares</t>
        </is>
      </c>
      <c r="B5" s="24" t="inlineStr">
        <is>
          <t>Разводнённое число акций</t>
        </is>
      </c>
      <c r="C5" s="24" t="inlineStr">
        <is>
          <t>С учётом опционов и конвертируемых бумаг</t>
        </is>
      </c>
      <c r="D5" s="24" t="inlineStr">
        <is>
          <t>—</t>
        </is>
      </c>
      <c r="E5" s="24" t="inlineStr">
        <is>
          <t>Всегда использовать вместо базового</t>
        </is>
      </c>
      <c r="F5" s="24" t="inlineStr">
        <is>
          <t>0.5</t>
        </is>
      </c>
      <c r="G5" s="24" t="inlineStr">
        <is>
          <t>Учебник: «Анализ акций», раздел 0.5</t>
        </is>
      </c>
      <c r="H5" s="29" t="n"/>
      <c r="I5" s="30" t="n"/>
    </row>
    <row r="6">
      <c r="A6" s="24" t="inlineStr">
        <is>
          <t>Free Float</t>
        </is>
      </c>
      <c r="B6" s="24" t="inlineStr">
        <is>
          <t>Свободное обращение</t>
        </is>
      </c>
      <c r="C6" s="24" t="inlineStr">
        <is>
          <t>Доля акций, доступная торгам</t>
        </is>
      </c>
      <c r="D6" s="24" t="inlineStr">
        <is>
          <t>—</t>
        </is>
      </c>
      <c r="E6" s="24" t="inlineStr">
        <is>
          <t>Малый free float → высокая волатильность</t>
        </is>
      </c>
      <c r="F6" s="24" t="inlineStr">
        <is>
          <t>0.5</t>
        </is>
      </c>
      <c r="G6" s="24" t="inlineStr">
        <is>
          <t>Учебник: «Анализ акций», раздел 0.5</t>
        </is>
      </c>
      <c r="H6" s="29" t="n"/>
      <c r="I6" s="30" t="n"/>
    </row>
    <row r="7">
      <c r="A7" s="24" t="inlineStr">
        <is>
          <t>Dilution</t>
        </is>
      </c>
      <c r="B7" s="24" t="inlineStr">
        <is>
          <t>Разводнение</t>
        </is>
      </c>
      <c r="C7" s="24" t="inlineStr">
        <is>
          <t>Рост числа акций уменьшает вашу долю</t>
        </is>
      </c>
      <c r="D7" s="24" t="inlineStr">
        <is>
          <t>—</t>
        </is>
      </c>
      <c r="E7" s="24" t="inlineStr">
        <is>
          <t>SBC и допэмиссии</t>
        </is>
      </c>
      <c r="F7" s="24" t="inlineStr">
        <is>
          <t>0.5</t>
        </is>
      </c>
      <c r="G7" s="24" t="inlineStr">
        <is>
          <t>Учебник: «Анализ акций», раздел 0.5</t>
        </is>
      </c>
      <c r="H7" s="29" t="n"/>
      <c r="I7" s="30" t="n"/>
    </row>
    <row r="8">
      <c r="A8" s="24" t="inlineStr">
        <is>
          <t>Buyback</t>
        </is>
      </c>
      <c r="B8" s="24" t="inlineStr">
        <is>
          <t>Обратный выкуп акций</t>
        </is>
      </c>
      <c r="C8" s="24" t="inlineStr">
        <is>
          <t>Компания выкупает свои акции, доля растёт</t>
        </is>
      </c>
      <c r="D8" s="24" t="inlineStr">
        <is>
          <t>—</t>
        </is>
      </c>
      <c r="E8" s="24" t="inlineStr">
        <is>
          <t>Прибыль 100 / 45 акций вместо 50 → EPS +11%</t>
        </is>
      </c>
      <c r="F8" s="24" t="inlineStr">
        <is>
          <t>0.5</t>
        </is>
      </c>
      <c r="G8" s="24" t="inlineStr">
        <is>
          <t>Учебник: «Анализ акций», раздел 0.5</t>
        </is>
      </c>
      <c r="H8" s="29" t="n"/>
      <c r="I8" s="30" t="n"/>
    </row>
    <row r="9">
      <c r="A9" s="24" t="inlineStr">
        <is>
          <t>Bid / Ask / Spread</t>
        </is>
      </c>
      <c r="B9" s="24" t="inlineStr">
        <is>
          <t>Спрос / предложение / спред</t>
        </is>
      </c>
      <c r="C9" s="24" t="inlineStr">
        <is>
          <t>Лучшие цены покупки и продажи и разница</t>
        </is>
      </c>
      <c r="D9" s="24" t="inlineStr">
        <is>
          <t>Spread = Ask − Bid</t>
        </is>
      </c>
      <c r="E9" s="24" t="inlineStr">
        <is>
          <t>101,10 − 100,90 = 0,20 $</t>
        </is>
      </c>
      <c r="F9" s="24" t="inlineStr">
        <is>
          <t>1.2</t>
        </is>
      </c>
      <c r="G9" s="24" t="inlineStr">
        <is>
          <t>Учебник: «Анализ акций», раздел 1.2</t>
        </is>
      </c>
      <c r="H9" s="29" t="n"/>
      <c r="I9" s="30" t="n"/>
    </row>
    <row r="10">
      <c r="A10" s="24" t="inlineStr">
        <is>
          <t>Ex-dividend date</t>
        </is>
      </c>
      <c r="B10" s="24" t="inlineStr">
        <is>
          <t>Дата отсечения</t>
        </is>
      </c>
      <c r="C10" s="24" t="inlineStr">
        <is>
          <t>С этого дня акция без права на дивиденд</t>
        </is>
      </c>
      <c r="D10" s="24" t="inlineStr">
        <is>
          <t>—</t>
        </is>
      </c>
      <c r="E10" s="24" t="inlineStr">
        <is>
          <t>Цена открывается ниже примерно на дивиденд</t>
        </is>
      </c>
      <c r="F10" s="24" t="inlineStr">
        <is>
          <t>1.4</t>
        </is>
      </c>
      <c r="G10" s="24" t="inlineStr">
        <is>
          <t>Учебник: «Анализ акций», раздел 1.4</t>
        </is>
      </c>
      <c r="H10" s="29" t="n"/>
      <c r="I10" s="30" t="n"/>
    </row>
    <row r="11">
      <c r="A11" s="24" t="inlineStr">
        <is>
          <t>Income Statement</t>
        </is>
      </c>
      <c r="B11" s="24" t="inlineStr">
        <is>
          <t>Отчёт о прибылях и убытках</t>
        </is>
      </c>
      <c r="C11" s="24" t="inlineStr">
        <is>
          <t>Сколько заработали за период</t>
        </is>
      </c>
      <c r="D11" s="24" t="inlineStr">
        <is>
          <t>—</t>
        </is>
      </c>
      <c r="E11" s="24" t="inlineStr">
        <is>
          <t>Revenue → Gross → Operating → Net</t>
        </is>
      </c>
      <c r="F11" s="24" t="inlineStr">
        <is>
          <t>2.1</t>
        </is>
      </c>
      <c r="G11" s="24" t="inlineStr">
        <is>
          <t>Учебник: «Анализ акций», раздел 2.1</t>
        </is>
      </c>
      <c r="H11" s="29" t="n"/>
      <c r="I11" s="30" t="n"/>
    </row>
    <row r="12">
      <c r="A12" s="24" t="inlineStr">
        <is>
          <t>Balance Sheet</t>
        </is>
      </c>
      <c r="B12" s="24" t="inlineStr">
        <is>
          <t>Бухгалтерский баланс</t>
        </is>
      </c>
      <c r="C12" s="24" t="inlineStr">
        <is>
          <t>Чем владеем и кому должны на дату</t>
        </is>
      </c>
      <c r="D12" s="24" t="inlineStr">
        <is>
          <t>Активы = Обязательства + Капитал</t>
        </is>
      </c>
      <c r="E12" s="24" t="inlineStr">
        <is>
          <t>Проверка равенства обязательна</t>
        </is>
      </c>
      <c r="F12" s="24" t="inlineStr">
        <is>
          <t>2.2</t>
        </is>
      </c>
      <c r="G12" s="24" t="inlineStr">
        <is>
          <t>Учебник: «Анализ акций», раздел 2.2</t>
        </is>
      </c>
      <c r="H12" s="29" t="n"/>
      <c r="I12" s="30" t="n"/>
    </row>
    <row r="13">
      <c r="A13" s="24" t="inlineStr">
        <is>
          <t>Cash Flow Statement</t>
        </is>
      </c>
      <c r="B13" s="24" t="inlineStr">
        <is>
          <t>Отчёт о движении денежных средств</t>
        </is>
      </c>
      <c r="C13" s="24" t="inlineStr">
        <is>
          <t>Куда реально ходили деньги</t>
        </is>
      </c>
      <c r="D13" s="24" t="inlineStr">
        <is>
          <t>—</t>
        </is>
      </c>
      <c r="E13" s="24" t="inlineStr">
        <is>
          <t>OCF + Investing + Financing</t>
        </is>
      </c>
      <c r="F13" s="24" t="inlineStr">
        <is>
          <t>2.3</t>
        </is>
      </c>
      <c r="G13" s="24" t="inlineStr">
        <is>
          <t>Учебник: «Анализ акций», раздел 2.3</t>
        </is>
      </c>
      <c r="H13" s="29" t="n"/>
      <c r="I13" s="30" t="n"/>
    </row>
    <row r="14">
      <c r="A14" s="24" t="inlineStr">
        <is>
          <t>Goodwill</t>
        </is>
      </c>
      <c r="B14" s="24" t="inlineStr">
        <is>
          <t>Гудвил</t>
        </is>
      </c>
      <c r="C14" s="24" t="inlineStr">
        <is>
          <t>Переплата при покупке другой компании</t>
        </is>
      </c>
      <c r="D14" s="24" t="inlineStr">
        <is>
          <t>Цена − Справедливая стоимость активов</t>
        </is>
      </c>
      <c r="E14" s="24" t="inlineStr">
        <is>
          <t>Купили за 10, активы на 6 → goodwill 4</t>
        </is>
      </c>
      <c r="F14" s="24" t="inlineStr">
        <is>
          <t>2.2</t>
        </is>
      </c>
      <c r="G14" s="24" t="inlineStr">
        <is>
          <t>Учебник: «Анализ акций», раздел 2.2</t>
        </is>
      </c>
      <c r="H14" s="29" t="n"/>
      <c r="I14" s="30" t="n"/>
    </row>
    <row r="15">
      <c r="A15" s="24" t="inlineStr">
        <is>
          <t>Gross Margin</t>
        </is>
      </c>
      <c r="B15" s="24" t="inlineStr">
        <is>
          <t>Валовая маржа</t>
        </is>
      </c>
      <c r="C15" s="24" t="inlineStr">
        <is>
          <t>Доля выручки после себестоимости</t>
        </is>
      </c>
      <c r="D15" s="24" t="inlineStr">
        <is>
          <t>Gross Profit / Revenue</t>
        </is>
      </c>
      <c r="E15" s="24" t="inlineStr">
        <is>
          <t>600 / 1 000 = 60%</t>
        </is>
      </c>
      <c r="F15" s="24" t="inlineStr">
        <is>
          <t>3.2</t>
        </is>
      </c>
      <c r="G15" s="24" t="inlineStr">
        <is>
          <t>Учебник: «Анализ акций», раздел 3.2</t>
        </is>
      </c>
      <c r="H15" s="29" t="n"/>
      <c r="I15" s="30" t="n"/>
    </row>
    <row r="16">
      <c r="A16" s="24" t="inlineStr">
        <is>
          <t>Operating Margin</t>
        </is>
      </c>
      <c r="B16" s="24" t="inlineStr">
        <is>
          <t>Операционная маржа</t>
        </is>
      </c>
      <c r="C16" s="24" t="inlineStr">
        <is>
          <t>Эффективность основного бизнеса</t>
        </is>
      </c>
      <c r="D16" s="24" t="inlineStr">
        <is>
          <t>Operating Income / Revenue</t>
        </is>
      </c>
      <c r="E16" s="24" t="inlineStr">
        <is>
          <t>16,5 × 40% = 6,6 млрд $ [условие задачи]</t>
        </is>
      </c>
      <c r="F16" s="24" t="inlineStr">
        <is>
          <t>3.3</t>
        </is>
      </c>
      <c r="G16" s="24" t="inlineStr">
        <is>
          <t>Учебник: «Анализ акций», раздел 3.3</t>
        </is>
      </c>
      <c r="H16" s="29" t="n"/>
      <c r="I16" s="30" t="n"/>
    </row>
    <row r="17">
      <c r="A17" s="24" t="inlineStr">
        <is>
          <t>Depreciation &amp; Amortization</t>
        </is>
      </c>
      <c r="B17" s="24" t="inlineStr">
        <is>
          <t>Износ и амортизация</t>
        </is>
      </c>
      <c r="C17" s="24" t="inlineStr">
        <is>
          <t>Списание стоимости активов по годам</t>
        </is>
      </c>
      <c r="D17" s="24" t="inlineStr">
        <is>
          <t>(Стоимость − Ликвид.) / Срок</t>
        </is>
      </c>
      <c r="E17" s="24" t="inlineStr">
        <is>
          <t>Печь 60 000 / 10 лет = 6 000 в год</t>
        </is>
      </c>
      <c r="F17" s="24" t="inlineStr">
        <is>
          <t>3.4</t>
        </is>
      </c>
      <c r="G17" s="24" t="inlineStr">
        <is>
          <t>Учебник: «Анализ акций», раздел 3.4</t>
        </is>
      </c>
      <c r="H17" s="29" t="n"/>
      <c r="I17" s="30" t="n"/>
    </row>
    <row r="18">
      <c r="A18" s="24" t="inlineStr">
        <is>
          <t>EBITDA</t>
        </is>
      </c>
      <c r="B18" s="24" t="inlineStr">
        <is>
          <t>Прибыль до %, налогов и амортизации</t>
        </is>
      </c>
      <c r="C18" s="24" t="inlineStr">
        <is>
          <t>Показатель до финансирования и износа</t>
        </is>
      </c>
      <c r="D18" s="24" t="inlineStr">
        <is>
          <t>EBIT + D&amp;A</t>
        </is>
      </c>
      <c r="E18" s="24" t="inlineStr">
        <is>
          <t>6,6 + 0,3 = 6,9 млрд $ [условие задачи]</t>
        </is>
      </c>
      <c r="F18" s="24" t="inlineStr">
        <is>
          <t>3.5</t>
        </is>
      </c>
      <c r="G18" s="24" t="inlineStr">
        <is>
          <t>Учебник: «Анализ акций», раздел 3.5</t>
        </is>
      </c>
      <c r="H18" s="29" t="n"/>
      <c r="I18" s="30" t="n"/>
    </row>
    <row r="19">
      <c r="A19" s="24" t="inlineStr">
        <is>
          <t>Adjusted EBITDA</t>
        </is>
      </c>
      <c r="B19" s="24" t="inlineStr">
        <is>
          <t>Скорректированная EBITDA</t>
        </is>
      </c>
      <c r="C19" s="24" t="inlineStr">
        <is>
          <t>EBITDA без «нетипичных» статей; определяет сама компания</t>
        </is>
      </c>
      <c r="D19" s="24" t="inlineStr">
        <is>
          <t>Non-GAAP</t>
        </is>
      </c>
      <c r="E19" s="24" t="inlineStr">
        <is>
          <t>Проверять таблицу сверки в отчёте</t>
        </is>
      </c>
      <c r="F19" s="24" t="inlineStr">
        <is>
          <t>3.5</t>
        </is>
      </c>
      <c r="G19" s="24" t="inlineStr">
        <is>
          <t>Учебник: «Анализ акций», раздел 3.5</t>
        </is>
      </c>
      <c r="H19" s="29" t="n"/>
      <c r="I19" s="30" t="n"/>
    </row>
    <row r="20">
      <c r="A20" s="24" t="inlineStr">
        <is>
          <t>Trailing (TTM)</t>
        </is>
      </c>
      <c r="B20" s="24" t="inlineStr">
        <is>
          <t>Скользящие 12 месяцев</t>
        </is>
      </c>
      <c r="C20" s="24" t="inlineStr">
        <is>
          <t>Факт за 4 последних квартала</t>
        </is>
      </c>
      <c r="D20" s="24" t="inlineStr">
        <is>
          <t>—</t>
        </is>
      </c>
      <c r="E20" s="24" t="inlineStr">
        <is>
          <t>Факт, а не прогноз</t>
        </is>
      </c>
      <c r="F20" s="24" t="inlineStr">
        <is>
          <t>3.5</t>
        </is>
      </c>
      <c r="G20" s="24" t="inlineStr">
        <is>
          <t>Учебник: «Анализ акций», раздел 3.5</t>
        </is>
      </c>
      <c r="H20" s="29" t="n"/>
      <c r="I20" s="30" t="n"/>
    </row>
    <row r="21">
      <c r="A21" s="24" t="inlineStr">
        <is>
          <t>Forward</t>
        </is>
      </c>
      <c r="B21" s="24" t="inlineStr">
        <is>
          <t>Форвардный</t>
        </is>
      </c>
      <c r="C21" s="24" t="inlineStr">
        <is>
          <t>Прогноз на будущий период</t>
        </is>
      </c>
      <c r="D21" s="24" t="inlineStr">
        <is>
          <t>—</t>
        </is>
      </c>
      <c r="E21" s="24" t="inlineStr">
        <is>
          <t>Прогноз, а не факт</t>
        </is>
      </c>
      <c r="F21" s="24" t="inlineStr">
        <is>
          <t>3.5</t>
        </is>
      </c>
      <c r="G21" s="24" t="inlineStr">
        <is>
          <t>Учебник: «Анализ акций», раздел 3.5</t>
        </is>
      </c>
      <c r="H21" s="29" t="n"/>
      <c r="I21" s="30" t="n"/>
    </row>
    <row r="22">
      <c r="A22" s="24" t="inlineStr">
        <is>
          <t>Free Cash Flow</t>
        </is>
      </c>
      <c r="B22" s="24" t="inlineStr">
        <is>
          <t>Свободный денежный поток</t>
        </is>
      </c>
      <c r="C22" s="24" t="inlineStr">
        <is>
          <t>Деньги после поддержания бизнеса</t>
        </is>
      </c>
      <c r="D22" s="24" t="inlineStr">
        <is>
          <t>OCF − CapEx</t>
        </is>
      </c>
      <c r="E22" s="24" t="inlineStr">
        <is>
          <t>179 − 60 = 119</t>
        </is>
      </c>
      <c r="F22" s="24" t="inlineStr">
        <is>
          <t>2.3</t>
        </is>
      </c>
      <c r="G22" s="24" t="inlineStr">
        <is>
          <t>Учебник: «Анализ акций», раздел 2.3</t>
        </is>
      </c>
      <c r="H22" s="29" t="n"/>
      <c r="I22" s="30" t="n"/>
    </row>
    <row r="23">
      <c r="A23" s="24" t="inlineStr">
        <is>
          <t>Diluted EPS</t>
        </is>
      </c>
      <c r="B23" s="24" t="inlineStr">
        <is>
          <t>Разводнённая прибыль на акцию</t>
        </is>
      </c>
      <c r="C23" s="24" t="inlineStr">
        <is>
          <t>Прибыль на одну акцию с учётом всех потенциальных</t>
        </is>
      </c>
      <c r="D23" s="24" t="inlineStr">
        <is>
          <t>Net Income / Diluted Shares</t>
        </is>
      </c>
      <c r="E23" s="24" t="inlineStr">
        <is>
          <t>144 / 108 = 1,33 $</t>
        </is>
      </c>
      <c r="F23" s="24" t="inlineStr">
        <is>
          <t>3.6</t>
        </is>
      </c>
      <c r="G23" s="24" t="inlineStr">
        <is>
          <t>Учебник: «Анализ акций», раздел 3.6</t>
        </is>
      </c>
      <c r="H23" s="29" t="n"/>
      <c r="I23" s="30" t="n"/>
    </row>
    <row r="24">
      <c r="A24" s="24" t="inlineStr">
        <is>
          <t>ROIC</t>
        </is>
      </c>
      <c r="B24" s="24" t="inlineStr">
        <is>
          <t>Рентабельность инвестированного капитала</t>
        </is>
      </c>
      <c r="C24" s="24" t="inlineStr">
        <is>
          <t>Отдача на весь вложенный капитал</t>
        </is>
      </c>
      <c r="D24" s="24" t="inlineStr">
        <is>
          <t>NOPAT / (Долг + Капитал)</t>
        </is>
      </c>
      <c r="E24" s="24" t="inlineStr">
        <is>
          <t>160 / 800 = 20%</t>
        </is>
      </c>
      <c r="F24" s="24" t="inlineStr">
        <is>
          <t>3.7</t>
        </is>
      </c>
      <c r="G24" s="24" t="inlineStr">
        <is>
          <t>Учебник: «Анализ акций», раздел 3.7</t>
        </is>
      </c>
      <c r="H24" s="29" t="n"/>
      <c r="I24" s="30" t="n"/>
    </row>
    <row r="25">
      <c r="A25" s="24" t="inlineStr">
        <is>
          <t>WACC</t>
        </is>
      </c>
      <c r="B25" s="24" t="inlineStr">
        <is>
          <t>Средневзвешенная стоимость капитала</t>
        </is>
      </c>
      <c r="C25" s="24" t="inlineStr">
        <is>
          <t>Минимальная планка доходности бизнеса</t>
        </is>
      </c>
      <c r="D25" s="24" t="inlineStr">
        <is>
          <t>(E/V)Re + (D/V)Rd(1−T)</t>
        </is>
      </c>
      <c r="E25" s="24" t="inlineStr">
        <is>
          <t>0,8×10% + 0,2×4,8% = 8,96%</t>
        </is>
      </c>
      <c r="F25" s="24" t="inlineStr">
        <is>
          <t>7.3</t>
        </is>
      </c>
      <c r="G25" s="24" t="inlineStr">
        <is>
          <t>Учебник: «Анализ акций», раздел 7.3</t>
        </is>
      </c>
      <c r="H25" s="29" t="n"/>
      <c r="I25" s="30" t="n"/>
    </row>
    <row r="26">
      <c r="A26" s="24" t="inlineStr">
        <is>
          <t>Net Debt</t>
        </is>
      </c>
      <c r="B26" s="24" t="inlineStr">
        <is>
          <t>Чистый долг</t>
        </is>
      </c>
      <c r="C26" s="24" t="inlineStr">
        <is>
          <t>Долг за вычетом денежных средств</t>
        </is>
      </c>
      <c r="D26" s="24" t="inlineStr">
        <is>
          <t>Долг − Деньги</t>
        </is>
      </c>
      <c r="E26" s="24" t="inlineStr">
        <is>
          <t>4 500 − 1 200 = 3 300</t>
        </is>
      </c>
      <c r="F26" s="24" t="inlineStr">
        <is>
          <t>3.8</t>
        </is>
      </c>
      <c r="G26" s="24" t="inlineStr">
        <is>
          <t>Учебник: «Анализ акций», раздел 3.8</t>
        </is>
      </c>
      <c r="H26" s="29" t="n"/>
      <c r="I26" s="30" t="n"/>
    </row>
    <row r="27">
      <c r="A27" s="24" t="inlineStr">
        <is>
          <t>Debt / EBITDA</t>
        </is>
      </c>
      <c r="B27" s="24" t="inlineStr">
        <is>
          <t>Долговая нагрузка</t>
        </is>
      </c>
      <c r="C27" s="24" t="inlineStr">
        <is>
          <t>За сколько лет EBITDA гасится долг</t>
        </is>
      </c>
      <c r="D27" s="24" t="inlineStr">
        <is>
          <t>Net Debt / EBITDA</t>
        </is>
      </c>
      <c r="E27" s="24" t="inlineStr">
        <is>
          <t>3 300 / 1 100 = 3,0×</t>
        </is>
      </c>
      <c r="F27" s="24" t="inlineStr">
        <is>
          <t>3.8</t>
        </is>
      </c>
      <c r="G27" s="24" t="inlineStr">
        <is>
          <t>Учебник: «Анализ акций», раздел 3.8</t>
        </is>
      </c>
      <c r="H27" s="29" t="n"/>
      <c r="I27" s="30" t="n"/>
    </row>
    <row r="28">
      <c r="A28" s="24" t="inlineStr">
        <is>
          <t>Enterprise Value</t>
        </is>
      </c>
      <c r="B28" s="24" t="inlineStr">
        <is>
          <t>Стоимость предприятия</t>
        </is>
      </c>
      <c r="C28" s="24" t="inlineStr">
        <is>
          <t>Цена бизнеса с долгом, но без его денег</t>
        </is>
      </c>
      <c r="D28" s="24" t="inlineStr">
        <is>
          <t>Market Cap + Долг − Деньги</t>
        </is>
      </c>
      <c r="E28" s="24" t="inlineStr">
        <is>
          <t>50 + 8 − 3 = 55 млрд $</t>
        </is>
      </c>
      <c r="F28" s="24" t="inlineStr">
        <is>
          <t>6.2</t>
        </is>
      </c>
      <c r="G28" s="24" t="inlineStr">
        <is>
          <t>Учебник: «Анализ акций», раздел 6.2</t>
        </is>
      </c>
      <c r="H28" s="29" t="n"/>
      <c r="I28" s="30" t="n"/>
    </row>
    <row r="29">
      <c r="A29" s="24" t="inlineStr">
        <is>
          <t>P/E</t>
        </is>
      </c>
      <c r="B29" s="24" t="inlineStr">
        <is>
          <t>Цена / прибыль</t>
        </is>
      </c>
      <c r="C29" s="24" t="inlineStr">
        <is>
          <t>Сколько платите за доллар прибыли</t>
        </is>
      </c>
      <c r="D29" s="24" t="inlineStr">
        <is>
          <t>Цена / EPS</t>
        </is>
      </c>
      <c r="E29" s="24" t="inlineStr">
        <is>
          <t>90 / 3,00 = 30×</t>
        </is>
      </c>
      <c r="F29" s="24" t="inlineStr">
        <is>
          <t>6.3</t>
        </is>
      </c>
      <c r="G29" s="24" t="inlineStr">
        <is>
          <t>Учебник: «Анализ акций», раздел 6.3</t>
        </is>
      </c>
      <c r="H29" s="29" t="n"/>
      <c r="I29" s="30" t="n"/>
    </row>
    <row r="30">
      <c r="A30" s="24" t="inlineStr">
        <is>
          <t>EV/EBITDA</t>
        </is>
      </c>
      <c r="B30" s="24" t="inlineStr">
        <is>
          <t>Стоимость / EBITDA</t>
        </is>
      </c>
      <c r="C30" s="24" t="inlineStr">
        <is>
          <t>Сколько платите за единицу EBITDA</t>
        </is>
      </c>
      <c r="D30" s="24" t="inlineStr">
        <is>
          <t>EV / EBITDA</t>
        </is>
      </c>
      <c r="E30" s="24" t="inlineStr">
        <is>
          <t>1 000 / 6,9 ≈ 145× [условие задачи]</t>
        </is>
      </c>
      <c r="F30" s="24" t="inlineStr">
        <is>
          <t>6.4</t>
        </is>
      </c>
      <c r="G30" s="24" t="inlineStr">
        <is>
          <t>Учебник: «Анализ акций», раздел 6.4</t>
        </is>
      </c>
      <c r="H30" s="29" t="n"/>
      <c r="I30" s="30" t="n"/>
    </row>
    <row r="31">
      <c r="A31" s="24" t="inlineStr">
        <is>
          <t>PEG</t>
        </is>
      </c>
      <c r="B31" s="24" t="inlineStr">
        <is>
          <t>P/E к росту</t>
        </is>
      </c>
      <c r="C31" s="24" t="inlineStr">
        <is>
          <t>P/E, соотнесённый с темпом роста</t>
        </is>
      </c>
      <c r="D31" s="24" t="inlineStr">
        <is>
          <t>P/E / Рост, %</t>
        </is>
      </c>
      <c r="E31" s="24" t="inlineStr">
        <is>
          <t>45 / 30 = 1,5</t>
        </is>
      </c>
      <c r="F31" s="24" t="inlineStr">
        <is>
          <t>6.3</t>
        </is>
      </c>
      <c r="G31" s="24" t="inlineStr">
        <is>
          <t>Учебник: «Анализ акций», раздел 6.3</t>
        </is>
      </c>
      <c r="H31" s="29" t="n"/>
      <c r="I31" s="30" t="n"/>
    </row>
    <row r="32">
      <c r="A32" s="24" t="inlineStr">
        <is>
          <t>CAGR</t>
        </is>
      </c>
      <c r="B32" s="24" t="inlineStr">
        <is>
          <t>Среднегодовой темп роста</t>
        </is>
      </c>
      <c r="C32" s="24" t="inlineStr">
        <is>
          <t>Ровный эквивалент фактического роста</t>
        </is>
      </c>
      <c r="D32" s="24" t="inlineStr">
        <is>
          <t>(Кон./Нач.)^(1/n) − 1</t>
        </is>
      </c>
      <c r="E32" s="24" t="inlineStr">
        <is>
          <t>7,62^(1/10) − 1 ≈ 22,5% в год</t>
        </is>
      </c>
      <c r="F32" s="24" t="inlineStr">
        <is>
          <t>6.4</t>
        </is>
      </c>
      <c r="G32" s="24" t="inlineStr">
        <is>
          <t>Учебник: «Анализ акций», раздел 6.4</t>
        </is>
      </c>
      <c r="H32" s="29" t="n"/>
      <c r="I32" s="30" t="n"/>
    </row>
    <row r="33">
      <c r="A33" s="24" t="inlineStr">
        <is>
          <t>DCF</t>
        </is>
      </c>
      <c r="B33" s="24" t="inlineStr">
        <is>
          <t>Дисконтированные денежные потоки</t>
        </is>
      </c>
      <c r="C33" s="24" t="inlineStr">
        <is>
          <t>Оценка через приведение будущих потоков</t>
        </is>
      </c>
      <c r="D33" s="24" t="inlineStr">
        <is>
          <t>Σ FCF/(1+r)^t + TV/(1+r)^n</t>
        </is>
      </c>
      <c r="E33" s="24" t="inlineStr">
        <is>
          <t>EV = 500 + 1 471 = 1 971</t>
        </is>
      </c>
      <c r="F33" s="24" t="inlineStr">
        <is>
          <t>7.4</t>
        </is>
      </c>
      <c r="G33" s="24" t="inlineStr">
        <is>
          <t>Учебник: «Анализ акций», раздел 7.4</t>
        </is>
      </c>
      <c r="H33" s="29" t="n"/>
      <c r="I33" s="30" t="n"/>
    </row>
    <row r="34">
      <c r="A34" s="24" t="inlineStr">
        <is>
          <t>Terminal Value</t>
        </is>
      </c>
      <c r="B34" s="24" t="inlineStr">
        <is>
          <t>Терминальная стоимость</t>
        </is>
      </c>
      <c r="C34" s="24" t="inlineStr">
        <is>
          <t>Стоимость потоков после прогнозного периода</t>
        </is>
      </c>
      <c r="D34" s="24" t="inlineStr">
        <is>
          <t>FCFn(1+g)/(WACC−g)</t>
        </is>
      </c>
      <c r="E34" s="24" t="inlineStr">
        <is>
          <t>165,88 / 0,07 = 2 369,7</t>
        </is>
      </c>
      <c r="F34" s="24" t="inlineStr">
        <is>
          <t>7.4</t>
        </is>
      </c>
      <c r="G34" s="24" t="inlineStr">
        <is>
          <t>Учебник: «Анализ акций», раздел 7.4</t>
        </is>
      </c>
      <c r="H34" s="29" t="n"/>
      <c r="I34" s="30" t="n"/>
    </row>
    <row r="35">
      <c r="A35" s="24" t="inlineStr">
        <is>
          <t>Margin of Safety</t>
        </is>
      </c>
      <c r="B35" s="24" t="inlineStr">
        <is>
          <t>Запас прочности</t>
        </is>
      </c>
      <c r="C35" s="24" t="inlineStr">
        <is>
          <t>Покупка существенно ниже расчётной стоимости</t>
        </is>
      </c>
      <c r="D35" s="24" t="inlineStr">
        <is>
          <t>Стоимость × (1 − запас)</t>
        </is>
      </c>
      <c r="E35" s="24" t="inlineStr">
        <is>
          <t>17,71 × 0,7 = 12,40 $</t>
        </is>
      </c>
      <c r="F35" s="24" t="inlineStr">
        <is>
          <t>7.7</t>
        </is>
      </c>
      <c r="G35" s="24" t="inlineStr">
        <is>
          <t>Учебник: «Анализ акций», раздел 7.7</t>
        </is>
      </c>
      <c r="H35" s="29" t="n"/>
      <c r="I35" s="30" t="n"/>
    </row>
    <row r="36">
      <c r="A36" s="24" t="inlineStr">
        <is>
          <t>Moat</t>
        </is>
      </c>
      <c r="B36" s="24" t="inlineStr">
        <is>
          <t>Экономический ров</t>
        </is>
      </c>
      <c r="C36" s="24" t="inlineStr">
        <is>
          <t>Защита прибыли от конкурентов</t>
        </is>
      </c>
      <c r="D36" s="24" t="inlineStr">
        <is>
          <t>Косвенно: устойчиво высокий ROIC</t>
        </is>
      </c>
      <c r="E36" s="24" t="inlineStr">
        <is>
          <t>Сетевой эффект, switching costs</t>
        </is>
      </c>
      <c r="F36" s="24" t="inlineStr">
        <is>
          <t>4.2</t>
        </is>
      </c>
      <c r="G36" s="24" t="inlineStr">
        <is>
          <t>Учебник: «Анализ акций», раздел 4.2</t>
        </is>
      </c>
      <c r="H36" s="29" t="n"/>
      <c r="I36" s="30" t="n"/>
    </row>
    <row r="37">
      <c r="A37" s="24" t="inlineStr">
        <is>
          <t>Customer Concentration</t>
        </is>
      </c>
      <c r="B37" s="24" t="inlineStr">
        <is>
          <t>Концентрация клиентов</t>
        </is>
      </c>
      <c r="C37" s="24" t="inlineStr">
        <is>
          <t>Доля выручки на крупнейших клиентов</t>
        </is>
      </c>
      <c r="D37" s="24" t="inlineStr">
        <is>
          <t>—</t>
        </is>
      </c>
      <c r="E37" s="24" t="inlineStr">
        <is>
          <t>Раскрытие при доле &gt; 10% в 10-K</t>
        </is>
      </c>
      <c r="F37" s="24" t="inlineStr">
        <is>
          <t>4.4</t>
        </is>
      </c>
      <c r="G37" s="24" t="inlineStr">
        <is>
          <t>Учебник: «Анализ акций», раздел 4.4</t>
        </is>
      </c>
      <c r="H37" s="29" t="n"/>
      <c r="I37" s="30" t="n"/>
    </row>
    <row r="38">
      <c r="A38" s="24" t="inlineStr">
        <is>
          <t>Value Trap</t>
        </is>
      </c>
      <c r="B38" s="24" t="inlineStr">
        <is>
          <t>Ловушка стоимости</t>
        </is>
      </c>
      <c r="C38" s="24" t="inlineStr">
        <is>
          <t>«Дёшево» из-за ухудшения бизнеса</t>
        </is>
      </c>
      <c r="D38" s="24" t="inlineStr">
        <is>
          <t>—</t>
        </is>
      </c>
      <c r="E38" s="24" t="inlineStr">
        <is>
          <t>Низкий P/E на пике цикла</t>
        </is>
      </c>
      <c r="F38" s="24" t="inlineStr">
        <is>
          <t>6.5</t>
        </is>
      </c>
      <c r="G38" s="24" t="inlineStr">
        <is>
          <t>Учебник: «Анализ акций», раздел 6.5</t>
        </is>
      </c>
      <c r="H38" s="29" t="n"/>
      <c r="I38" s="30" t="n"/>
    </row>
    <row r="39">
      <c r="A39" s="24" t="inlineStr">
        <is>
          <t>Drawdown</t>
        </is>
      </c>
      <c r="B39" s="24" t="inlineStr">
        <is>
          <t>Просадка</t>
        </is>
      </c>
      <c r="C39" s="24" t="inlineStr">
        <is>
          <t>Падение от максимума до минимума</t>
        </is>
      </c>
      <c r="D39" s="24" t="inlineStr">
        <is>
          <t>—</t>
        </is>
      </c>
      <c r="E39" s="24" t="inlineStr">
        <is>
          <t>После −50% нужен рост +100%</t>
        </is>
      </c>
      <c r="F39" s="24" t="inlineStr">
        <is>
          <t>10.3</t>
        </is>
      </c>
      <c r="G39" s="24" t="inlineStr">
        <is>
          <t>Учебник: «Анализ акций», раздел 10.3</t>
        </is>
      </c>
      <c r="H39" s="29" t="n"/>
      <c r="I39" s="30" t="n"/>
    </row>
    <row r="40">
      <c r="A40" s="24" t="inlineStr">
        <is>
          <t>Confirmation Bias</t>
        </is>
      </c>
      <c r="B40" s="24" t="inlineStr">
        <is>
          <t>Склонность к подтверждению</t>
        </is>
      </c>
      <c r="C40" s="24" t="inlineStr">
        <is>
          <t>Ищем только подтверждающее мнение</t>
        </is>
      </c>
      <c r="D40" s="24" t="inlineStr">
        <is>
          <t>—</t>
        </is>
      </c>
      <c r="E40" s="24" t="inlineStr">
        <is>
          <t>Противоядие: прочитать медвежий тезис</t>
        </is>
      </c>
      <c r="F40" s="24" t="inlineStr">
        <is>
          <t>10.5</t>
        </is>
      </c>
      <c r="G40" s="24" t="inlineStr">
        <is>
          <t>Учебник: «Анализ акций», раздел 10.5</t>
        </is>
      </c>
      <c r="H40" s="29" t="n"/>
      <c r="I40" s="30" t="n"/>
    </row>
    <row r="41">
      <c r="A41" s="24" t="inlineStr">
        <is>
          <t>RSI</t>
        </is>
      </c>
      <c r="B41" s="24" t="inlineStr">
        <is>
          <t>Индекс относительной силы</t>
        </is>
      </c>
      <c r="C41" s="24" t="inlineStr">
        <is>
          <t>Осциллятор импульса 0–100</t>
        </is>
      </c>
      <c r="D41" s="24" t="inlineStr">
        <is>
          <t>100 − 100/(1+RS)</t>
        </is>
      </c>
      <c r="E41" s="24" t="inlineStr">
        <is>
          <t>&gt; 70 не означает «продавать»</t>
        </is>
      </c>
      <c r="F41" s="24" t="inlineStr">
        <is>
          <t>11.2</t>
        </is>
      </c>
      <c r="G41" s="24" t="inlineStr">
        <is>
          <t>Учебник: «Анализ акций», раздел 11.2</t>
        </is>
      </c>
      <c r="H41" s="29" t="n"/>
      <c r="I41" s="30" t="n"/>
    </row>
    <row r="42">
      <c r="A42" s="24" t="inlineStr">
        <is>
          <t>10-K</t>
        </is>
      </c>
      <c r="B42" s="24" t="inlineStr">
        <is>
          <t>Годовой отчёт (США)</t>
        </is>
      </c>
      <c r="C42" s="24" t="inlineStr">
        <is>
          <t>Самый полный первоисточник о компании</t>
        </is>
      </c>
      <c r="D42" s="24" t="inlineStr">
        <is>
          <t>—</t>
        </is>
      </c>
      <c r="E42" s="24" t="inlineStr">
        <is>
          <t>SEC EDGAR</t>
        </is>
      </c>
      <c r="F42" s="24" t="inlineStr">
        <is>
          <t>8.1</t>
        </is>
      </c>
      <c r="G42" s="24" t="inlineStr">
        <is>
          <t>Учебник: «Анализ акций», раздел 8.1</t>
        </is>
      </c>
      <c r="H42" s="29" t="n"/>
      <c r="I42" s="30" t="n"/>
    </row>
  </sheetData>
  <autoFilter ref="A2:I2"/>
  <conditionalFormatting sqref="H3:H42">
    <cfRule type="cellIs" priority="1" operator="lessThan" dxfId="2">
      <formula>3</formula>
    </cfRule>
    <cfRule type="cellIs" priority="2" operator="greaterThanOrEqual" dxfId="0">
      <formula>4</formula>
    </cfRule>
  </conditionalFormatting>
  <dataValidations count="1">
    <dataValidation sqref="H3:H102" showDropDown="0" showInputMessage="0" showErrorMessage="0" allowBlank="1" type="list">
      <formula1>"0,1,2,3,4,5"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4" customWidth="1" min="3" max="3"/>
    <col width="22" customWidth="1" min="4" max="4"/>
    <col width="44" customWidth="1" min="5" max="5"/>
    <col width="12" customWidth="1" min="6" max="6"/>
    <col width="16" customWidth="1" min="7" max="7"/>
    <col width="18" customWidth="1" min="8" max="8"/>
    <col width="40" customWidth="1" min="9" max="9"/>
    <col width="38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Video Library / Библиотека видео</t>
        </is>
      </c>
      <c r="C1" s="2" t="inlineStr">
        <is>
          <t>Длительность нигде не проставлена намеренно: доступа к youtube.com у среды подготовки не было, придумывать её нельзя. Впишите фактическую длительность сами при просмотре. Заполняйте колонки G, K, M.</t>
        </is>
      </c>
    </row>
    <row r="2" ht="34" customHeight="1">
      <c r="A2" s="23" t="inlineStr">
        <is>
          <t>Уровень</t>
        </is>
      </c>
      <c r="B2" s="23" t="inlineStr">
        <is>
          <t>Тема</t>
        </is>
      </c>
      <c r="C2" s="23" t="inlineStr">
        <is>
          <t>Название материала</t>
        </is>
      </c>
      <c r="D2" s="23" t="inlineStr">
        <is>
          <t>Автор / канал</t>
        </is>
      </c>
      <c r="E2" s="23" t="inlineStr">
        <is>
          <t>Ссылка</t>
        </is>
      </c>
      <c r="F2" s="23" t="inlineStr">
        <is>
          <t>Язык</t>
        </is>
      </c>
      <c r="G2" s="23" t="inlineStr">
        <is>
          <t>Длительность</t>
        </is>
      </c>
      <c r="H2" s="23" t="inlineStr">
        <is>
          <t>Качество источника</t>
        </is>
      </c>
      <c r="I2" s="23" t="inlineStr">
        <is>
          <t>Что объясняет</t>
        </is>
      </c>
      <c r="J2" s="23" t="inlineStr">
        <is>
          <t>Задание после просмотра</t>
        </is>
      </c>
      <c r="K2" s="23" t="inlineStr">
        <is>
          <t>Статус</t>
        </is>
      </c>
      <c r="L2" s="23" t="inlineStr">
        <is>
          <t>Дата проверки ссылки</t>
        </is>
      </c>
      <c r="M2" s="23" t="inlineStr">
        <is>
          <t>Заметки</t>
        </is>
      </c>
    </row>
    <row r="3">
      <c r="A3" s="24" t="n">
        <v>0</v>
      </c>
      <c r="B3" s="24" t="inlineStr">
        <is>
          <t>Основы: акции и облигации</t>
        </is>
      </c>
      <c r="C3" s="24" t="inlineStr">
        <is>
          <t>Плейлист «Stocks and bonds | Finance and Capital Markets»</t>
        </is>
      </c>
      <c r="D3" s="24" t="inlineStr">
        <is>
          <t>Khan Academy</t>
        </is>
      </c>
      <c r="E3" s="25" t="inlineStr">
        <is>
          <t>https://www.youtube.com/playlist?list=PLSQl0a2vh4HD1g_teRDEUkwMIIFlB8MJv</t>
        </is>
      </c>
      <c r="F3" s="24" t="inlineStr">
        <is>
          <t>Английский</t>
        </is>
      </c>
      <c r="G3" s="27" t="inlineStr">
        <is>
          <t>уточнить на странице</t>
        </is>
      </c>
      <c r="H3" s="24" t="inlineStr">
        <is>
          <t>Официальный образовательный</t>
        </is>
      </c>
      <c r="I3" s="24" t="inlineStr">
        <is>
          <t>Что значит купить акцию, облигации, EPS, P/E, ROA</t>
        </is>
      </c>
      <c r="J3" s="24" t="inlineStr">
        <is>
          <t>Записать своими словами, что вы получаете, покупая акцию</t>
        </is>
      </c>
      <c r="K3" s="29" t="inlineStr">
        <is>
          <t>Не начато</t>
        </is>
      </c>
      <c r="L3" s="5" t="inlineStr">
        <is>
          <t>31.08.2026</t>
        </is>
      </c>
      <c r="M3" s="29" t="n"/>
    </row>
    <row r="4">
      <c r="A4" s="24" t="n">
        <v>0</v>
      </c>
      <c r="B4" s="24" t="inlineStr">
        <is>
          <t>Что значит купить акцию</t>
        </is>
      </c>
      <c r="C4" s="24" t="inlineStr">
        <is>
          <t>What it means to buy a company's stock</t>
        </is>
      </c>
      <c r="D4" s="24" t="inlineStr">
        <is>
          <t>Khan Academy</t>
        </is>
      </c>
      <c r="E4" s="25" t="inlineStr">
        <is>
          <t>https://www.youtube.com/watch?v=98qfFzqDKR8</t>
        </is>
      </c>
      <c r="F4" s="24" t="inlineStr">
        <is>
          <t>Английский</t>
        </is>
      </c>
      <c r="G4" s="27" t="inlineStr">
        <is>
          <t>уточнить на странице</t>
        </is>
      </c>
      <c r="H4" s="24" t="inlineStr">
        <is>
          <t>Официальный образовательный</t>
        </is>
      </c>
      <c r="I4" s="24" t="inlineStr">
        <is>
          <t>Доля владения, капитализация</t>
        </is>
      </c>
      <c r="J4" s="24" t="inlineStr">
        <is>
          <t>Посчитать капитализацию вручную</t>
        </is>
      </c>
      <c r="K4" s="29" t="inlineStr">
        <is>
          <t>Не начато</t>
        </is>
      </c>
      <c r="L4" s="5" t="inlineStr">
        <is>
          <t>31.08.2026</t>
        </is>
      </c>
      <c r="M4" s="29" t="n"/>
    </row>
    <row r="5">
      <c r="A5" s="24" t="n">
        <v>0</v>
      </c>
      <c r="B5" s="24" t="inlineStr">
        <is>
          <t>Облигации</t>
        </is>
      </c>
      <c r="C5" s="24" t="inlineStr">
        <is>
          <t>Introduction to bonds</t>
        </is>
      </c>
      <c r="D5" s="24" t="inlineStr">
        <is>
          <t>Khan Academy</t>
        </is>
      </c>
      <c r="E5" s="25" t="inlineStr">
        <is>
          <t>https://www.youtube.com/watch?v=Qh-M3_L4xYk</t>
        </is>
      </c>
      <c r="F5" s="24" t="inlineStr">
        <is>
          <t>Английский</t>
        </is>
      </c>
      <c r="G5" s="27" t="inlineStr">
        <is>
          <t>уточнить на странице</t>
        </is>
      </c>
      <c r="H5" s="24" t="inlineStr">
        <is>
          <t>Официальный образовательный</t>
        </is>
      </c>
      <c r="I5" s="24" t="inlineStr">
        <is>
          <t>Купон, номинал, риск</t>
        </is>
      </c>
      <c r="J5" s="24" t="inlineStr">
        <is>
          <t>Сравнить риск акции и облигации письменно</t>
        </is>
      </c>
      <c r="K5" s="29" t="inlineStr">
        <is>
          <t>Не начато</t>
        </is>
      </c>
      <c r="L5" s="5" t="inlineStr">
        <is>
          <t>31.08.2026</t>
        </is>
      </c>
      <c r="M5" s="29" t="n"/>
    </row>
    <row r="6">
      <c r="A6" s="24" t="n">
        <v>0</v>
      </c>
      <c r="B6" s="24" t="inlineStr">
        <is>
          <t>Структура капитала</t>
        </is>
      </c>
      <c r="C6" s="24" t="inlineStr">
        <is>
          <t>Basic capital structure differences</t>
        </is>
      </c>
      <c r="D6" s="24" t="inlineStr">
        <is>
          <t>Khan Academy</t>
        </is>
      </c>
      <c r="E6" s="25" t="inlineStr">
        <is>
          <t>https://www.youtube.com/watch?v=YEZMReBbkP0</t>
        </is>
      </c>
      <c r="F6" s="24" t="inlineStr">
        <is>
          <t>Английский</t>
        </is>
      </c>
      <c r="G6" s="27" t="inlineStr">
        <is>
          <t>уточнить на странице</t>
        </is>
      </c>
      <c r="H6" s="24" t="inlineStr">
        <is>
          <t>Официальный образовательный</t>
        </is>
      </c>
      <c r="I6" s="24" t="inlineStr">
        <is>
          <t>Долг против капитала, очередь требований</t>
        </is>
      </c>
      <c r="J6" s="24" t="inlineStr">
        <is>
          <t>Найти Total Debt и Equity в балансе</t>
        </is>
      </c>
      <c r="K6" s="29" t="inlineStr">
        <is>
          <t>Не начато</t>
        </is>
      </c>
      <c r="L6" s="5" t="inlineStr">
        <is>
          <t>31.08.2026</t>
        </is>
      </c>
      <c r="M6" s="29" t="n"/>
    </row>
    <row r="7">
      <c r="A7" s="24" t="n">
        <v>0</v>
      </c>
      <c r="B7" s="24" t="inlineStr">
        <is>
          <t>Финансовая грамотность</t>
        </is>
      </c>
      <c r="C7" s="24" t="inlineStr">
        <is>
          <t>Канал «Финансовая культура» (проект Банка России)</t>
        </is>
      </c>
      <c r="D7" s="24" t="inlineStr">
        <is>
          <t>Банк России</t>
        </is>
      </c>
      <c r="E7" s="25" t="inlineStr">
        <is>
          <t>https://www.youtube.com/channel/UCmLiKX9HVtX2wOR1Xz9gn3A</t>
        </is>
      </c>
      <c r="F7" s="24" t="inlineStr">
        <is>
          <t>Русский</t>
        </is>
      </c>
      <c r="G7" s="27" t="inlineStr">
        <is>
          <t>уточнить на странице</t>
        </is>
      </c>
      <c r="H7" s="24" t="inlineStr">
        <is>
          <t>Официальный регулятор</t>
        </is>
      </c>
      <c r="I7" s="24" t="inlineStr">
        <is>
          <t>Базовая финграмотность, защита от мошенничества</t>
        </is>
      </c>
      <c r="J7" s="24" t="inlineStr">
        <is>
          <t>Составить список признаков финансовой пирамиды</t>
        </is>
      </c>
      <c r="K7" s="29" t="inlineStr">
        <is>
          <t>Не начато</t>
        </is>
      </c>
      <c r="L7" s="5" t="inlineStr">
        <is>
          <t>31.08.2026</t>
        </is>
      </c>
      <c r="M7" s="29" t="n"/>
    </row>
    <row r="8">
      <c r="A8" s="24" t="n">
        <v>0</v>
      </c>
      <c r="B8" s="24" t="inlineStr">
        <is>
          <t>Механика биржи</t>
        </is>
      </c>
      <c r="C8" s="24" t="inlineStr">
        <is>
          <t>Обучение для частных инвесторов (сайт)</t>
        </is>
      </c>
      <c r="D8" s="24" t="inlineStr">
        <is>
          <t>Московская биржа</t>
        </is>
      </c>
      <c r="E8" s="25" t="inlineStr">
        <is>
          <t>https://www.moex.com/msn/learning</t>
        </is>
      </c>
      <c r="F8" s="24" t="inlineStr">
        <is>
          <t>Русский</t>
        </is>
      </c>
      <c r="G8" s="27" t="inlineStr">
        <is>
          <t>уточнить на странице</t>
        </is>
      </c>
      <c r="H8" s="24" t="inlineStr">
        <is>
          <t>Официальная биржа</t>
        </is>
      </c>
      <c r="I8" s="24" t="inlineStr">
        <is>
          <t>Инструменты, механика торгов</t>
        </is>
      </c>
      <c r="J8" s="24" t="inlineStr">
        <is>
          <t>Разобрать устройство биржевого стакана</t>
        </is>
      </c>
      <c r="K8" s="29" t="inlineStr">
        <is>
          <t>Не начато</t>
        </is>
      </c>
      <c r="L8" s="5" t="inlineStr">
        <is>
          <t>31.08.2026</t>
        </is>
      </c>
      <c r="M8" s="29" t="n"/>
    </row>
    <row r="9">
      <c r="A9" s="24" t="n">
        <v>3</v>
      </c>
      <c r="B9" s="24" t="inlineStr">
        <is>
          <t>Прибыль и EPS</t>
        </is>
      </c>
      <c r="C9" s="24" t="inlineStr">
        <is>
          <t>Earnings and EPS</t>
        </is>
      </c>
      <c r="D9" s="24" t="inlineStr">
        <is>
          <t>Khan Academy</t>
        </is>
      </c>
      <c r="E9" s="25" t="inlineStr">
        <is>
          <t>https://www.youtube.com/watch?v=RouNXdkC0do</t>
        </is>
      </c>
      <c r="F9" s="24" t="inlineStr">
        <is>
          <t>Английский</t>
        </is>
      </c>
      <c r="G9" s="27" t="inlineStr">
        <is>
          <t>уточнить на странице</t>
        </is>
      </c>
      <c r="H9" s="24" t="inlineStr">
        <is>
          <t>Официальный образовательный</t>
        </is>
      </c>
      <c r="I9" s="24" t="inlineStr">
        <is>
          <t>Прибыль, прибыль на акцию</t>
        </is>
      </c>
      <c r="J9" s="24" t="inlineStr">
        <is>
          <t>Найти Diluted EPS в 10-K</t>
        </is>
      </c>
      <c r="K9" s="29" t="inlineStr">
        <is>
          <t>Не начато</t>
        </is>
      </c>
      <c r="L9" s="5" t="inlineStr">
        <is>
          <t>31.08.2026</t>
        </is>
      </c>
      <c r="M9" s="29" t="n"/>
    </row>
    <row r="10">
      <c r="A10" s="24" t="n">
        <v>3</v>
      </c>
      <c r="B10" s="24" t="inlineStr">
        <is>
          <t>Отдача на активы</t>
        </is>
      </c>
      <c r="C10" s="24" t="inlineStr">
        <is>
          <t>ROA discussion</t>
        </is>
      </c>
      <c r="D10" s="24" t="inlineStr">
        <is>
          <t>Khan Academy</t>
        </is>
      </c>
      <c r="E10" s="25" t="inlineStr">
        <is>
          <t>https://www.youtube.com/watch?v=Oh4H3BJX1ZI</t>
        </is>
      </c>
      <c r="F10" s="24" t="inlineStr">
        <is>
          <t>Английский</t>
        </is>
      </c>
      <c r="G10" s="27" t="inlineStr">
        <is>
          <t>уточнить на странице</t>
        </is>
      </c>
      <c r="H10" s="24" t="inlineStr">
        <is>
          <t>Официальный образовательный</t>
        </is>
      </c>
      <c r="I10" s="24" t="inlineStr">
        <is>
          <t>ROA и отдача на капитал</t>
        </is>
      </c>
      <c r="J10" s="24" t="inlineStr">
        <is>
          <t>Посчитать ROA, ROE, ROIC</t>
        </is>
      </c>
      <c r="K10" s="29" t="inlineStr">
        <is>
          <t>Не начато</t>
        </is>
      </c>
      <c r="L10" s="5" t="inlineStr">
        <is>
          <t>31.08.2026</t>
        </is>
      </c>
      <c r="M10" s="29" t="n"/>
    </row>
    <row r="11">
      <c r="A11" s="24" t="n">
        <v>5</v>
      </c>
      <c r="B11" s="24" t="inlineStr">
        <is>
          <t>Критические разборы</t>
        </is>
      </c>
      <c r="C11" s="24" t="inlineStr">
        <is>
          <t>Канал The Plain Bagel (CFA-charterholder)</t>
        </is>
      </c>
      <c r="D11" s="24" t="inlineStr">
        <is>
          <t>The Plain Bagel</t>
        </is>
      </c>
      <c r="E11" s="25" t="inlineStr">
        <is>
          <t>https://www.youtube.com/ThePlainBagel</t>
        </is>
      </c>
      <c r="F11" s="24" t="inlineStr">
        <is>
          <t>Английский</t>
        </is>
      </c>
      <c r="G11" s="27" t="inlineStr">
        <is>
          <t>уточнить на странице</t>
        </is>
      </c>
      <c r="H11" s="24" t="inlineStr">
        <is>
          <t>Профессиональный</t>
        </is>
      </c>
      <c r="I11" s="24" t="inlineStr">
        <is>
          <t>Механика рынка, критический взгляд на популярные идеи</t>
        </is>
      </c>
      <c r="J11" s="24" t="inlineStr">
        <is>
          <t>Найти ролик с критикой популярной идеи, выписать аргументы</t>
        </is>
      </c>
      <c r="K11" s="29" t="inlineStr">
        <is>
          <t>Не начато</t>
        </is>
      </c>
      <c r="L11" s="5" t="inlineStr">
        <is>
          <t>31.08.2026</t>
        </is>
      </c>
      <c r="M11" s="29" t="n"/>
    </row>
    <row r="12">
      <c r="A12" s="24" t="n">
        <v>6</v>
      </c>
      <c r="B12" s="24" t="inlineStr">
        <is>
          <t>Мультипликатор P/E</t>
        </is>
      </c>
      <c r="C12" s="24" t="inlineStr">
        <is>
          <t>P/E discussion</t>
        </is>
      </c>
      <c r="D12" s="24" t="inlineStr">
        <is>
          <t>Khan Academy</t>
        </is>
      </c>
      <c r="E12" s="25" t="inlineStr">
        <is>
          <t>https://www.youtube.com/watch?v=V-rko8jgJ9o</t>
        </is>
      </c>
      <c r="F12" s="24" t="inlineStr">
        <is>
          <t>Английский</t>
        </is>
      </c>
      <c r="G12" s="27" t="inlineStr">
        <is>
          <t>уточнить на странице</t>
        </is>
      </c>
      <c r="H12" s="24" t="inlineStr">
        <is>
          <t>Официальный образовательный</t>
        </is>
      </c>
      <c r="I12" s="24" t="inlineStr">
        <is>
          <t>P/E и его ограничения</t>
        </is>
      </c>
      <c r="J12" s="24" t="inlineStr">
        <is>
          <t>Посчитать P/E двух конкурентов</t>
        </is>
      </c>
      <c r="K12" s="29" t="inlineStr">
        <is>
          <t>Не начато</t>
        </is>
      </c>
      <c r="L12" s="5" t="inlineStr">
        <is>
          <t>31.08.2026</t>
        </is>
      </c>
      <c r="M12" s="29" t="n"/>
    </row>
    <row r="13">
      <c r="A13" s="24" t="n">
        <v>6</v>
      </c>
      <c r="B13" s="24" t="inlineStr">
        <is>
          <t>Enterprise Value</t>
        </is>
      </c>
      <c r="C13" s="24" t="inlineStr">
        <is>
          <t>Investopedia Video: Introduction To Enterprise Value</t>
        </is>
      </c>
      <c r="D13" s="24" t="inlineStr">
        <is>
          <t>Investopedia</t>
        </is>
      </c>
      <c r="E13" s="25" t="inlineStr">
        <is>
          <t>https://www.youtube.com/watch?v=c8HdwcRlWZk</t>
        </is>
      </c>
      <c r="F13" s="24" t="inlineStr">
        <is>
          <t>Английский</t>
        </is>
      </c>
      <c r="G13" s="27" t="inlineStr">
        <is>
          <t>уточнить на странице</t>
        </is>
      </c>
      <c r="H13" s="24" t="inlineStr">
        <is>
          <t>Профессиональный справочник</t>
        </is>
      </c>
      <c r="I13" s="24" t="inlineStr">
        <is>
          <t>Enterprise Value против Market Cap</t>
        </is>
      </c>
      <c r="J13" s="24" t="inlineStr">
        <is>
          <t>Посчитать EV трёх компаний</t>
        </is>
      </c>
      <c r="K13" s="29" t="inlineStr">
        <is>
          <t>Не начато</t>
        </is>
      </c>
      <c r="L13" s="5" t="inlineStr">
        <is>
          <t>31.08.2026</t>
        </is>
      </c>
      <c r="M13" s="29" t="n"/>
    </row>
    <row r="14">
      <c r="A14" s="24" t="n">
        <v>7</v>
      </c>
      <c r="B14" s="24" t="inlineStr">
        <is>
          <t>Теория финансов</t>
        </is>
      </c>
      <c r="C14" s="24" t="inlineStr">
        <is>
          <t>Курс 15.401 Finance Theory I (плейлист)</t>
        </is>
      </c>
      <c r="D14" s="24" t="inlineStr">
        <is>
          <t>MIT OpenCourseWare (проф. Эндрю Ло)</t>
        </is>
      </c>
      <c r="E14" s="25" t="inlineStr">
        <is>
          <t>https://www.youtube.com/playlist?list=PLUl4u3cNGP63B2lDhyKOsImI7FjCf6eDW</t>
        </is>
      </c>
      <c r="F14" s="24" t="inlineStr">
        <is>
          <t>Английский</t>
        </is>
      </c>
      <c r="G14" s="27" t="inlineStr">
        <is>
          <t>уточнить на странице</t>
        </is>
      </c>
      <c r="H14" s="24" t="inlineStr">
        <is>
          <t>Университетский курс</t>
        </is>
      </c>
      <c r="I14" s="24" t="inlineStr">
        <is>
          <t>Приведённая стоимость, оценка активов, портфель</t>
        </is>
      </c>
      <c r="J14" s="24" t="inlineStr">
        <is>
          <t>Решить задачу на приведённую стоимость</t>
        </is>
      </c>
      <c r="K14" s="29" t="inlineStr">
        <is>
          <t>Не начато</t>
        </is>
      </c>
      <c r="L14" s="5" t="inlineStr">
        <is>
          <t>31.08.2026</t>
        </is>
      </c>
      <c r="M14" s="29" t="n"/>
    </row>
    <row r="15">
      <c r="A15" s="24" t="n">
        <v>7</v>
      </c>
      <c r="B15" s="24" t="inlineStr">
        <is>
          <t>Теория финансов (материалы)</t>
        </is>
      </c>
      <c r="C15" s="24" t="inlineStr">
        <is>
          <t>15.401 Finance Theory I — слайды и задачи</t>
        </is>
      </c>
      <c r="D15" s="24" t="inlineStr">
        <is>
          <t>MIT OpenCourseWare</t>
        </is>
      </c>
      <c r="E15" s="25" t="inlineStr">
        <is>
          <t>https://ocw.mit.edu/courses/15-401-finance-theory-i-fall-2008/</t>
        </is>
      </c>
      <c r="F15" s="24" t="inlineStr">
        <is>
          <t>Английский</t>
        </is>
      </c>
      <c r="G15" s="27" t="inlineStr">
        <is>
          <t>уточнить на странице</t>
        </is>
      </c>
      <c r="H15" s="24" t="inlineStr">
        <is>
          <t>Университетский курс</t>
        </is>
      </c>
      <c r="I15" s="24" t="inlineStr">
        <is>
          <t>Слайды, problem sets</t>
        </is>
      </c>
      <c r="J15" s="24" t="inlineStr">
        <is>
          <t>Прорешать задачи problem set</t>
        </is>
      </c>
      <c r="K15" s="29" t="inlineStr">
        <is>
          <t>Не начато</t>
        </is>
      </c>
      <c r="L15" s="5" t="inlineStr">
        <is>
          <t>31.08.2026</t>
        </is>
      </c>
      <c r="M15" s="29" t="n"/>
    </row>
    <row r="16">
      <c r="A16" s="24" t="n">
        <v>7</v>
      </c>
      <c r="B16" s="24" t="inlineStr">
        <is>
          <t>Оценка компаний</t>
        </is>
      </c>
      <c r="C16" s="24" t="inlineStr">
        <is>
          <t>Канал Aswath Damodaran</t>
        </is>
      </c>
      <c r="D16" s="24" t="inlineStr">
        <is>
          <t>Aswath Damodaran (NYU Stern)</t>
        </is>
      </c>
      <c r="E16" s="25" t="inlineStr">
        <is>
          <t>https://www.youtube.com/channel/UCLvnJL8htRR1T9cbSccaoVw</t>
        </is>
      </c>
      <c r="F16" s="24" t="inlineStr">
        <is>
          <t>Английский</t>
        </is>
      </c>
      <c r="G16" s="27" t="inlineStr">
        <is>
          <t>уточнить на странице</t>
        </is>
      </c>
      <c r="H16" s="24" t="inlineStr">
        <is>
          <t>Академический</t>
        </is>
      </c>
      <c r="I16" s="24" t="inlineStr">
        <is>
          <t>Полные курсы по оценке компаний</t>
        </is>
      </c>
      <c r="J16" s="24" t="inlineStr">
        <is>
          <t>Пройти первую сессию курса Valuation</t>
        </is>
      </c>
      <c r="K16" s="29" t="inlineStr">
        <is>
          <t>Не начато</t>
        </is>
      </c>
      <c r="L16" s="5" t="inlineStr">
        <is>
          <t>31.08.2026</t>
        </is>
      </c>
      <c r="M16" s="29" t="n"/>
    </row>
    <row r="17">
      <c r="A17" s="24" t="n">
        <v>7</v>
      </c>
      <c r="B17" s="24" t="inlineStr">
        <is>
          <t>DCF и относительная оценка</t>
        </is>
      </c>
      <c r="C17" s="24" t="inlineStr">
        <is>
          <t>Плейлист «Aswath Damodaran on Valuation»</t>
        </is>
      </c>
      <c r="D17" s="24" t="inlineStr">
        <is>
          <t>Aswath Damodaran</t>
        </is>
      </c>
      <c r="E17" s="25" t="inlineStr">
        <is>
          <t>https://www.youtube.com/playlist?list=PLeBox1GIuOW_7LAvk-Iz-Vm5luPJhu6_H</t>
        </is>
      </c>
      <c r="F17" s="24" t="inlineStr">
        <is>
          <t>Английский</t>
        </is>
      </c>
      <c r="G17" s="27" t="inlineStr">
        <is>
          <t>уточнить на странице</t>
        </is>
      </c>
      <c r="H17" s="24" t="inlineStr">
        <is>
          <t>Академический</t>
        </is>
      </c>
      <c r="I17" s="24" t="inlineStr">
        <is>
          <t>DCF, относительная оценка</t>
        </is>
      </c>
      <c r="J17" s="24" t="inlineStr">
        <is>
          <t>Построить простую DCF по образцу раздела 7.4</t>
        </is>
      </c>
      <c r="K17" s="29" t="inlineStr">
        <is>
          <t>Не начато</t>
        </is>
      </c>
      <c r="L17" s="5" t="inlineStr">
        <is>
          <t>31.08.2026</t>
        </is>
      </c>
      <c r="M17" s="29" t="n"/>
    </row>
    <row r="18">
      <c r="A18" s="24" t="n">
        <v>7</v>
      </c>
      <c r="B18" s="24" t="inlineStr">
        <is>
          <t>Философия оценки</t>
        </is>
      </c>
      <c r="C18" s="24" t="inlineStr">
        <is>
          <t>Session 1: Introduction to Valuation</t>
        </is>
      </c>
      <c r="D18" s="24" t="inlineStr">
        <is>
          <t>Aswath Damodaran</t>
        </is>
      </c>
      <c r="E18" s="25" t="inlineStr">
        <is>
          <t>https://www.youtube.com/watch?v=znmQ7oMiQrM</t>
        </is>
      </c>
      <c r="F18" s="24" t="inlineStr">
        <is>
          <t>Английский</t>
        </is>
      </c>
      <c r="G18" s="27" t="inlineStr">
        <is>
          <t>уточнить на странице</t>
        </is>
      </c>
      <c r="H18" s="24" t="inlineStr">
        <is>
          <t>Академический</t>
        </is>
      </c>
      <c r="I18" s="24" t="inlineStr">
        <is>
          <t>Предвзятость и неопределённость в оценке</t>
        </is>
      </c>
      <c r="J18" s="24" t="inlineStr">
        <is>
          <t>Выписать предвзятости своего анализа</t>
        </is>
      </c>
      <c r="K18" s="29" t="inlineStr">
        <is>
          <t>Не начато</t>
        </is>
      </c>
      <c r="L18" s="5" t="inlineStr">
        <is>
          <t>31.08.2026</t>
        </is>
      </c>
      <c r="M18" s="29" t="n"/>
    </row>
    <row r="19">
      <c r="A19" s="24" t="n">
        <v>8</v>
      </c>
      <c r="B19" s="24" t="inlineStr">
        <is>
          <t>Чтение годового отчёта</t>
        </is>
      </c>
      <c r="C19" s="24" t="inlineStr">
        <is>
          <t>How to Read a 10-K (официальный PDF)</t>
        </is>
      </c>
      <c r="D19" s="24" t="inlineStr">
        <is>
          <t>U.S. SEC</t>
        </is>
      </c>
      <c r="E19" s="25" t="inlineStr">
        <is>
          <t>https://www.sec.gov/files/reada10k.pdf</t>
        </is>
      </c>
      <c r="F19" s="24" t="inlineStr">
        <is>
          <t>Английский</t>
        </is>
      </c>
      <c r="G19" s="27" t="inlineStr">
        <is>
          <t>уточнить на странице</t>
        </is>
      </c>
      <c r="H19" s="24" t="inlineStr">
        <is>
          <t>Официальный регулятор</t>
        </is>
      </c>
      <c r="I19" s="24" t="inlineStr">
        <is>
          <t>Структура 10-K</t>
        </is>
      </c>
      <c r="J19" s="24" t="inlineStr">
        <is>
          <t>Разобрать один 10-K по структуре</t>
        </is>
      </c>
      <c r="K19" s="29" t="inlineStr">
        <is>
          <t>Не начато</t>
        </is>
      </c>
      <c r="L19" s="5" t="inlineStr">
        <is>
          <t>31.08.2026</t>
        </is>
      </c>
      <c r="M19" s="29" t="n"/>
    </row>
    <row r="20">
      <c r="A20" s="24" t="n">
        <v>8</v>
      </c>
      <c r="B20" s="24" t="inlineStr">
        <is>
          <t>Поиск первоисточников</t>
        </is>
      </c>
      <c r="C20" s="24" t="inlineStr">
        <is>
          <t>EDGAR: полнотекстовый поиск</t>
        </is>
      </c>
      <c r="D20" s="24" t="inlineStr">
        <is>
          <t>U.S. SEC</t>
        </is>
      </c>
      <c r="E20" s="25" t="inlineStr">
        <is>
          <t>https://www.sec.gov/edgar/search/</t>
        </is>
      </c>
      <c r="F20" s="24" t="inlineStr">
        <is>
          <t>Английский</t>
        </is>
      </c>
      <c r="G20" s="27" t="inlineStr">
        <is>
          <t>уточнить на странице</t>
        </is>
      </c>
      <c r="H20" s="24" t="inlineStr">
        <is>
          <t>Официальный регулятор</t>
        </is>
      </c>
      <c r="I20" s="24" t="inlineStr">
        <is>
          <t>Поиск любых поданных документов</t>
        </is>
      </c>
      <c r="J20" s="24" t="inlineStr">
        <is>
          <t>Найти отчёты трёх компаний</t>
        </is>
      </c>
      <c r="K20" s="29" t="inlineStr">
        <is>
          <t>Не начато</t>
        </is>
      </c>
      <c r="L20" s="5" t="inlineStr">
        <is>
          <t>31.08.2026</t>
        </is>
      </c>
      <c r="M20" s="29" t="n"/>
    </row>
    <row r="21">
      <c r="A21" s="24" t="n">
        <v>10</v>
      </c>
      <c r="B21" s="24" t="inlineStr">
        <is>
          <t>Доказательный подход</t>
        </is>
      </c>
      <c r="C21" s="24" t="inlineStr">
        <is>
          <t>Канал The Rational Reminder</t>
        </is>
      </c>
      <c r="D21" s="24" t="inlineStr">
        <is>
          <t>Rational Reminder / Ben Felix</t>
        </is>
      </c>
      <c r="E21" s="25" t="inlineStr">
        <is>
          <t>https://www.youtube.com/@rationalreminder</t>
        </is>
      </c>
      <c r="F21" s="24" t="inlineStr">
        <is>
          <t>Английский</t>
        </is>
      </c>
      <c r="G21" s="27" t="inlineStr">
        <is>
          <t>уточнить на странице</t>
        </is>
      </c>
      <c r="H21" s="24" t="inlineStr">
        <is>
          <t>Профессиональный, со ссылками на исследования</t>
        </is>
      </c>
      <c r="I21" s="24" t="inlineStr">
        <is>
          <t>Поведение инвестора, диверсификация, факторы</t>
        </is>
      </c>
      <c r="J21" s="24" t="inlineStr">
        <is>
          <t>Выписать три контринтуитивных вывода исследований</t>
        </is>
      </c>
      <c r="K21" s="29" t="inlineStr">
        <is>
          <t>Не начато</t>
        </is>
      </c>
      <c r="L21" s="5" t="inlineStr">
        <is>
          <t>31.08.2026</t>
        </is>
      </c>
      <c r="M21" s="29" t="n"/>
    </row>
  </sheetData>
  <autoFilter ref="A2:M2"/>
  <conditionalFormatting sqref="K3:K21">
    <cfRule type="cellIs" priority="1" operator="equal" dxfId="0">
      <formula>"Просмотрено"</formula>
    </cfRule>
  </conditionalFormatting>
  <dataValidations count="2">
    <dataValidation sqref="K3:K61" showDropDown="0" showInputMessage="0" showErrorMessage="0" allowBlank="1" type="list">
      <formula1>"Не начато,В процессе,Просмотрено,Пересмотреть"</formula1>
    </dataValidation>
    <dataValidation sqref="F3:F61" showDropDown="0" showInputMessage="0" showErrorMessage="0" allowBlank="1" type="list">
      <formula1>"Русский,Английский,Другой"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4" customWidth="1" min="4" max="4"/>
    <col width="34" customWidth="1" min="5" max="5"/>
    <col width="40" customWidth="1" min="6" max="6"/>
    <col width="30" customWidth="1" min="7" max="7"/>
    <col width="30" customWidth="1" min="8" max="8"/>
    <col width="34" customWidth="1" min="9" max="9"/>
    <col width="28" customWidth="1" min="10" max="10"/>
    <col width="14" customWidth="1" min="11" max="11"/>
    <col width="30" customWidth="1" min="12" max="12"/>
  </cols>
  <sheetData>
    <row r="1">
      <c r="A1" s="1" t="inlineStr">
        <is>
          <t>Practice Log / Журнал практики</t>
        </is>
      </c>
      <c r="C1" s="2" t="inlineStr">
        <is>
          <t>Строка 3 — ПРИМЕР заполнения (серым), удалять не обязательно: Dashboard считает записи начиная со строки 4. Каждый факт — со ссылкой на источник и страницу отчёта.</t>
        </is>
      </c>
    </row>
    <row r="2" ht="34" customHeight="1">
      <c r="A2" s="23" t="inlineStr">
        <is>
          <t>Дата</t>
        </is>
      </c>
      <c r="B2" s="23" t="inlineStr">
        <is>
          <t>Компания / тикер</t>
        </is>
      </c>
      <c r="C2" s="23" t="inlineStr">
        <is>
          <t>Вид задания</t>
        </is>
      </c>
      <c r="D2" s="23" t="inlineStr">
        <is>
          <t>Использованные источники</t>
        </is>
      </c>
      <c r="E2" s="23" t="inlineStr">
        <is>
          <t>Что я анализировал</t>
        </is>
      </c>
      <c r="F2" s="23" t="inlineStr">
        <is>
          <t>Мой вывод</t>
        </is>
      </c>
      <c r="G2" s="23" t="inlineStr">
        <is>
          <t>Что оказалось сложным</t>
        </is>
      </c>
      <c r="H2" s="23" t="inlineStr">
        <is>
          <t>Ошибки</t>
        </is>
      </c>
      <c r="I2" s="23" t="inlineStr">
        <is>
          <t>Исправленный вариант</t>
        </is>
      </c>
      <c r="J2" s="23" t="inlineStr">
        <is>
          <t>Ссылка на результат работы</t>
        </is>
      </c>
      <c r="K2" s="23" t="inlineStr">
        <is>
          <t>Оценка качества (1-5)</t>
        </is>
      </c>
      <c r="L2" s="23" t="inlineStr">
        <is>
          <t>Что изучить дальше</t>
        </is>
      </c>
    </row>
    <row r="3">
      <c r="A3" s="31" t="inlineStr">
        <is>
          <t>ПРИМЕР: 01.09.2026</t>
        </is>
      </c>
      <c r="B3" s="31" t="inlineStr">
        <is>
          <t>ПРИМЕР (AAPL)</t>
        </is>
      </c>
      <c r="C3" s="31" t="inlineStr">
        <is>
          <t>Расчёт показателей</t>
        </is>
      </c>
      <c r="D3" s="31" t="inlineStr">
        <is>
          <t>10-K FY2024, стр. 31; 10-Q Q3, обложка</t>
        </is>
      </c>
      <c r="E3" s="31" t="inlineStr">
        <is>
          <t>Капитализация и число разводнённых акций</t>
        </is>
      </c>
      <c r="F3" s="31" t="inlineStr">
        <is>
          <t>Капитализация посчитана вручную; расхождение с порталом 1,2% из-за разных дат</t>
        </is>
      </c>
      <c r="G3" s="31" t="inlineStr">
        <is>
          <t>Разница между базовым и разводнённым числом акций</t>
        </is>
      </c>
      <c r="H3" s="31" t="inlineStr">
        <is>
          <t>Сначала взял базовое число акций вместо разводнённого</t>
        </is>
      </c>
      <c r="I3" s="31" t="inlineStr">
        <is>
          <t>Пересчитал по diluted shares с обложки 10-Q</t>
        </is>
      </c>
      <c r="J3" s="31" t="inlineStr">
        <is>
          <t>Файл analysis_01.md</t>
        </is>
      </c>
      <c r="K3" s="31" t="n">
        <v>3</v>
      </c>
      <c r="L3" s="31" t="inlineStr">
        <is>
          <t>Раздел 2.1 — Income Statement</t>
        </is>
      </c>
    </row>
    <row r="4">
      <c r="A4" s="26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</row>
    <row r="5">
      <c r="A5" s="26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</row>
    <row r="6">
      <c r="A6" s="26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</row>
    <row r="7">
      <c r="A7" s="26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</row>
    <row r="8">
      <c r="A8" s="26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>
      <c r="A9" s="26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>
      <c r="A10" s="26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>
      <c r="A11" s="26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>
      <c r="A12" s="26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</row>
    <row r="13">
      <c r="A13" s="26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>
      <c r="A14" s="26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</row>
    <row r="15">
      <c r="A15" s="26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</row>
    <row r="16">
      <c r="A16" s="26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</row>
    <row r="17">
      <c r="A17" s="26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>
      <c r="A18" s="26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  <row r="19">
      <c r="A19" s="26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</row>
    <row r="20">
      <c r="A20" s="26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</row>
    <row r="21">
      <c r="A21" s="26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</row>
    <row r="22">
      <c r="A22" s="26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6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26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</row>
    <row r="25">
      <c r="A25" s="26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</row>
    <row r="26">
      <c r="A26" s="26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</row>
    <row r="27">
      <c r="A27" s="26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</row>
    <row r="28">
      <c r="A28" s="26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</row>
    <row r="29">
      <c r="A29" s="26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6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6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6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6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6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6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6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6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6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6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</row>
    <row r="42">
      <c r="A42" s="26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</row>
    <row r="43">
      <c r="A43" s="26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</row>
    <row r="44">
      <c r="A44" s="26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</row>
    <row r="45">
      <c r="A45" s="26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</row>
    <row r="46">
      <c r="A46" s="26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</row>
    <row r="47">
      <c r="A47" s="26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</row>
    <row r="48">
      <c r="A48" s="26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</row>
    <row r="49">
      <c r="A49" s="26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</row>
    <row r="50">
      <c r="A50" s="26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</row>
    <row r="51">
      <c r="A51" s="26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</row>
    <row r="52">
      <c r="A52" s="26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</row>
    <row r="53">
      <c r="A53" s="26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</row>
    <row r="54">
      <c r="A54" s="26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</row>
    <row r="55">
      <c r="A55" s="26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</row>
    <row r="56">
      <c r="A56" s="26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</row>
    <row r="57">
      <c r="A57" s="26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</row>
    <row r="58">
      <c r="A58" s="26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</row>
    <row r="59">
      <c r="A59" s="26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</row>
  </sheetData>
  <autoFilter ref="A2:L2"/>
  <dataValidations count="2">
    <dataValidation sqref="C4:C200" showDropDown="0" showInputMessage="0" showErrorMessage="0" allowBlank="1" type="list">
      <formula1>"Расчёт показателей,Чтение отчёта,Разбор компании,Мультипликаторы,DCF-модель,Риски и сценарии,Технический анализ,Повторение терминов,Мини-тест"</formula1>
    </dataValidation>
    <dataValidation sqref="K4:K200" showDropDown="0" showInputMessage="0" showErrorMessage="0" allowBlank="1" type="list">
      <formula1>"1,2,3,4,5"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52" customWidth="1" min="4" max="4"/>
    <col width="34" customWidth="1" min="5" max="5"/>
    <col width="18" customWidth="1" min="6" max="6"/>
    <col width="13" customWidth="1" min="7" max="7"/>
  </cols>
  <sheetData>
    <row r="1">
      <c r="A1" s="1" t="inlineStr">
        <is>
          <t>Company Analysis / Шаблон разбора компании (17 разделов)</t>
        </is>
      </c>
      <c r="D1" s="2" t="inlineStr">
        <is>
          <t>Заполняйте колонки D–G. Обязательно помечайте тип: факт / прогноз / допущение / мнение / вывод. Итог пишется без совета покупать или продавать.</t>
        </is>
      </c>
    </row>
    <row r="2" ht="34" customHeight="1">
      <c r="A2" s="23" t="inlineStr">
        <is>
          <t>№</t>
        </is>
      </c>
      <c r="B2" s="23" t="inlineStr">
        <is>
          <t>Раздел</t>
        </is>
      </c>
      <c r="C2" s="23" t="inlineStr">
        <is>
          <t>Что нужно заполнить</t>
        </is>
      </c>
      <c r="D2" s="23" t="inlineStr">
        <is>
          <t>Мой ответ</t>
        </is>
      </c>
      <c r="E2" s="23" t="inlineStr">
        <is>
          <t>Источник факта (документ, стр., дата)</t>
        </is>
      </c>
      <c r="F2" s="23" t="inlineStr">
        <is>
          <t>Тип утверждения</t>
        </is>
      </c>
      <c r="G2" s="23" t="inlineStr">
        <is>
          <t>Статус</t>
        </is>
      </c>
    </row>
    <row r="3">
      <c r="A3" s="24" t="inlineStr">
        <is>
          <t>—</t>
        </is>
      </c>
      <c r="B3" s="32" t="inlineStr">
        <is>
          <t>Шапка</t>
        </is>
      </c>
      <c r="C3" s="24" t="inlineStr">
        <is>
          <t>Компания, тикер, биржа, дата анализа, цена на дату анализа</t>
        </is>
      </c>
      <c r="D3" s="27" t="n"/>
      <c r="E3" s="27" t="n"/>
      <c r="F3" s="27" t="n"/>
      <c r="G3" s="27" t="inlineStr">
        <is>
          <t>Не заполнено</t>
        </is>
      </c>
    </row>
    <row r="4">
      <c r="A4" s="24" t="n">
        <v>1</v>
      </c>
      <c r="B4" s="32" t="inlineStr">
        <is>
          <t>1. Бизнес</t>
        </is>
      </c>
      <c r="C4" s="24" t="inlineStr">
        <is>
          <t>Что продаёт, кому, как берёт деньги — 5 предложений своими словами</t>
        </is>
      </c>
      <c r="D4" s="27" t="n"/>
      <c r="E4" s="27" t="n"/>
      <c r="F4" s="27" t="n"/>
      <c r="G4" s="27" t="inlineStr">
        <is>
          <t>Не заполнено</t>
        </is>
      </c>
    </row>
    <row r="5">
      <c r="A5" s="24" t="n">
        <v>2</v>
      </c>
      <c r="B5" s="32" t="inlineStr">
        <is>
          <t>2. Отрасль</t>
        </is>
      </c>
      <c r="C5" s="24" t="inlineStr">
        <is>
          <t>Тип отрасли: циклическая / защитная / структурно растущая; цепочка создания стоимости</t>
        </is>
      </c>
      <c r="D5" s="27" t="n"/>
      <c r="E5" s="27" t="n"/>
      <c r="F5" s="27" t="n"/>
      <c r="G5" s="27" t="inlineStr">
        <is>
          <t>Не заполнено</t>
        </is>
      </c>
    </row>
    <row r="6">
      <c r="A6" s="24" t="n">
        <v>3</v>
      </c>
      <c r="B6" s="32" t="inlineStr">
        <is>
          <t>3. Конкуренты</t>
        </is>
      </c>
      <c r="C6" s="24" t="inlineStr">
        <is>
          <t>3–5 конкурентов из раздела Competition в 10-K; в чём отличие компании</t>
        </is>
      </c>
      <c r="D6" s="27" t="n"/>
      <c r="E6" s="27" t="n"/>
      <c r="F6" s="27" t="n"/>
      <c r="G6" s="27" t="inlineStr">
        <is>
          <t>Не заполнено</t>
        </is>
      </c>
    </row>
    <row r="7">
      <c r="A7" s="24" t="n">
        <v>4</v>
      </c>
      <c r="B7" s="32" t="inlineStr">
        <is>
          <t>4. Выручка</t>
        </is>
      </c>
      <c r="C7" s="24" t="inlineStr">
        <is>
          <t>Разбивка по сегментам и географиям за 3 года; органический и неорганический рост</t>
        </is>
      </c>
      <c r="D7" s="27" t="n"/>
      <c r="E7" s="27" t="n"/>
      <c r="F7" s="27" t="n"/>
      <c r="G7" s="27" t="inlineStr">
        <is>
          <t>Не заполнено</t>
        </is>
      </c>
    </row>
    <row r="8">
      <c r="A8" s="24" t="n">
        <v>5</v>
      </c>
      <c r="B8" s="32" t="inlineStr">
        <is>
          <t>5. Прибыль</t>
        </is>
      </c>
      <c r="C8" s="24" t="inlineStr">
        <is>
          <t>Gross / Operating / Net прибыль за 5 лет; разовые статьи</t>
        </is>
      </c>
      <c r="D8" s="27" t="n"/>
      <c r="E8" s="27" t="n"/>
      <c r="F8" s="27" t="n"/>
      <c r="G8" s="27" t="inlineStr">
        <is>
          <t>Не заполнено</t>
        </is>
      </c>
    </row>
    <row r="9">
      <c r="A9" s="24" t="n">
        <v>6</v>
      </c>
      <c r="B9" s="32" t="inlineStr">
        <is>
          <t>6. Маржи</t>
        </is>
      </c>
      <c r="C9" s="24" t="inlineStr">
        <is>
          <t>Gross / Operating / Net маржа за 5 лет; объяснение динамики</t>
        </is>
      </c>
      <c r="D9" s="27" t="n"/>
      <c r="E9" s="27" t="n"/>
      <c r="F9" s="27" t="n"/>
      <c r="G9" s="27" t="inlineStr">
        <is>
          <t>Не заполнено</t>
        </is>
      </c>
    </row>
    <row r="10">
      <c r="A10" s="24" t="n">
        <v>7</v>
      </c>
      <c r="B10" s="32" t="inlineStr">
        <is>
          <t>7. Денежный поток</t>
        </is>
      </c>
      <c r="C10" s="24" t="inlineStr">
        <is>
          <t>OCF, CapEx, FCF; конверсия FCF/EBITDA; разрыв между Net Income и OCF</t>
        </is>
      </c>
      <c r="D10" s="27" t="n"/>
      <c r="E10" s="27" t="n"/>
      <c r="F10" s="27" t="n"/>
      <c r="G10" s="27" t="inlineStr">
        <is>
          <t>Не заполнено</t>
        </is>
      </c>
    </row>
    <row r="11">
      <c r="A11" s="24" t="n">
        <v>8</v>
      </c>
      <c r="B11" s="32" t="inlineStr">
        <is>
          <t>8. Баланс</t>
        </is>
      </c>
      <c r="C11" s="24" t="inlineStr">
        <is>
          <t>Активы, денежные средства, запасы, дебиторка, goodwill</t>
        </is>
      </c>
      <c r="D11" s="27" t="n"/>
      <c r="E11" s="27" t="n"/>
      <c r="F11" s="27" t="n"/>
      <c r="G11" s="27" t="inlineStr">
        <is>
          <t>Не заполнено</t>
        </is>
      </c>
    </row>
    <row r="12">
      <c r="A12" s="24" t="n">
        <v>9</v>
      </c>
      <c r="B12" s="32" t="inlineStr">
        <is>
          <t>9. Долг</t>
        </is>
      </c>
      <c r="C12" s="24" t="inlineStr">
        <is>
          <t>Net Debt, Debt/EBITDA, покрытие процентов, график погашений и ставки</t>
        </is>
      </c>
      <c r="D12" s="27" t="n"/>
      <c r="E12" s="27" t="n"/>
      <c r="F12" s="27" t="n"/>
      <c r="G12" s="27" t="inlineStr">
        <is>
          <t>Не заполнено</t>
        </is>
      </c>
    </row>
    <row r="13">
      <c r="A13" s="24" t="n">
        <v>10</v>
      </c>
      <c r="B13" s="32" t="inlineStr">
        <is>
          <t>10. Количество акций</t>
        </is>
      </c>
      <c r="C13" s="24" t="inlineStr">
        <is>
          <t>Diluted shares за 5 лет, SBC в % от выручки, история buyback и цены выкупов</t>
        </is>
      </c>
      <c r="D13" s="27" t="n"/>
      <c r="E13" s="27" t="n"/>
      <c r="F13" s="27" t="n"/>
      <c r="G13" s="27" t="inlineStr">
        <is>
          <t>Не заполнено</t>
        </is>
      </c>
    </row>
    <row r="14">
      <c r="A14" s="24" t="n">
        <v>11</v>
      </c>
      <c r="B14" s="32" t="inlineStr">
        <is>
          <t>11. Оценка</t>
        </is>
      </c>
      <c r="C14" s="24" t="inlineStr">
        <is>
          <t>Market Cap, EV; P/E, EV/EBITDA, EV/Sales, P/FCF (trailing); сравнение с историей и конкурентами</t>
        </is>
      </c>
      <c r="D14" s="27" t="n"/>
      <c r="E14" s="27" t="n"/>
      <c r="F14" s="27" t="n"/>
      <c r="G14" s="27" t="inlineStr">
        <is>
          <t>Не заполнено</t>
        </is>
      </c>
    </row>
    <row r="15">
      <c r="A15" s="24" t="n">
        <v>12</v>
      </c>
      <c r="B15" s="32" t="inlineStr">
        <is>
          <t>11a. Обратный расчёт</t>
        </is>
      </c>
      <c r="C15" s="24" t="inlineStr">
        <is>
          <t>Какие допущения по росту оправдывают текущую цену (метод раздела 6.4)</t>
        </is>
      </c>
      <c r="D15" s="27" t="n"/>
      <c r="E15" s="27" t="n"/>
      <c r="F15" s="27" t="n"/>
      <c r="G15" s="27" t="inlineStr">
        <is>
          <t>Не заполнено</t>
        </is>
      </c>
    </row>
    <row r="16">
      <c r="A16" s="24" t="n">
        <v>13</v>
      </c>
      <c r="B16" s="32" t="inlineStr">
        <is>
          <t>11b. DCF</t>
        </is>
      </c>
      <c r="C16" s="24" t="inlineStr">
        <is>
          <t>Допущения (рост, маржа, WACC, g), доля терминальной стоимости, чувствительность</t>
        </is>
      </c>
      <c r="D16" s="27" t="n"/>
      <c r="E16" s="27" t="n"/>
      <c r="F16" s="27" t="n"/>
      <c r="G16" s="27" t="inlineStr">
        <is>
          <t>Не заполнено</t>
        </is>
      </c>
    </row>
    <row r="17">
      <c r="A17" s="24" t="n">
        <v>14</v>
      </c>
      <c r="B17" s="32" t="inlineStr">
        <is>
          <t>12. Катализаторы</t>
        </is>
      </c>
      <c r="C17" s="24" t="inlineStr">
        <is>
          <t>Конкретные события, способные изменить результаты, и их сроки</t>
        </is>
      </c>
      <c r="D17" s="27" t="n"/>
      <c r="E17" s="27" t="n"/>
      <c r="F17" s="27" t="n"/>
      <c r="G17" s="27" t="inlineStr">
        <is>
          <t>Не заполнено</t>
        </is>
      </c>
    </row>
    <row r="18">
      <c r="A18" s="24" t="n">
        <v>15</v>
      </c>
      <c r="B18" s="32" t="inlineStr">
        <is>
          <t>13. Риски</t>
        </is>
      </c>
      <c r="C18" s="24" t="inlineStr">
        <is>
          <t>Карта рисков: вероятность, влияние, индикатор отслеживания</t>
        </is>
      </c>
      <c r="D18" s="27" t="n"/>
      <c r="E18" s="27" t="n"/>
      <c r="F18" s="27" t="n"/>
      <c r="G18" s="27" t="inlineStr">
        <is>
          <t>Не заполнено</t>
        </is>
      </c>
    </row>
    <row r="19">
      <c r="A19" s="24" t="n">
        <v>16</v>
      </c>
      <c r="B19" s="32" t="inlineStr">
        <is>
          <t>14. Бычий сценарий</t>
        </is>
      </c>
      <c r="C19" s="24" t="inlineStr">
        <is>
          <t>Числовые допущения и результат</t>
        </is>
      </c>
      <c r="D19" s="27" t="n"/>
      <c r="E19" s="27" t="n"/>
      <c r="F19" s="27" t="n"/>
      <c r="G19" s="27" t="inlineStr">
        <is>
          <t>Не заполнено</t>
        </is>
      </c>
    </row>
    <row r="20">
      <c r="A20" s="24" t="n">
        <v>17</v>
      </c>
      <c r="B20" s="32" t="inlineStr">
        <is>
          <t>15. Базовый сценарий</t>
        </is>
      </c>
      <c r="C20" s="24" t="inlineStr">
        <is>
          <t>Числовые допущения и результат</t>
        </is>
      </c>
      <c r="D20" s="27" t="n"/>
      <c r="E20" s="27" t="n"/>
      <c r="F20" s="27" t="n"/>
      <c r="G20" s="27" t="inlineStr">
        <is>
          <t>Не заполнено</t>
        </is>
      </c>
    </row>
    <row r="21">
      <c r="A21" s="24" t="n">
        <v>18</v>
      </c>
      <c r="B21" s="32" t="inlineStr">
        <is>
          <t>16. Медвежий сценарий</t>
        </is>
      </c>
      <c r="C21" s="24" t="inlineStr">
        <is>
          <t>Числовые допущения и результат (рост × маржа × мультипликатор)</t>
        </is>
      </c>
      <c r="D21" s="27" t="n"/>
      <c r="E21" s="27" t="n"/>
      <c r="F21" s="27" t="n"/>
      <c r="G21" s="27" t="inlineStr">
        <is>
          <t>Не заполнено</t>
        </is>
      </c>
    </row>
    <row r="22">
      <c r="A22" s="24" t="n">
        <v>19</v>
      </c>
      <c r="B22" s="32" t="inlineStr">
        <is>
          <t>17. Итоговый тезис</t>
        </is>
      </c>
      <c r="C22" s="24" t="inlineStr">
        <is>
          <t>Одно проверяемое предложение с числами, сроком и механизмом</t>
        </is>
      </c>
      <c r="D22" s="27" t="n"/>
      <c r="E22" s="27" t="n"/>
      <c r="F22" s="27" t="n"/>
      <c r="G22" s="27" t="inlineStr">
        <is>
          <t>Не заполнено</t>
        </is>
      </c>
    </row>
    <row r="23">
      <c r="A23" s="24" t="n">
        <v>20</v>
      </c>
      <c r="B23" s="32" t="inlineStr">
        <is>
          <t>18. Условия опровержения</t>
        </is>
      </c>
      <c r="C23" s="24" t="inlineStr">
        <is>
          <t>5 измеримых условий, при которых тезис признаётся ошибочным</t>
        </is>
      </c>
      <c r="D23" s="27" t="n"/>
      <c r="E23" s="27" t="n"/>
      <c r="F23" s="27" t="n"/>
      <c r="G23" s="27" t="inlineStr">
        <is>
          <t>Не заполнено</t>
        </is>
      </c>
    </row>
    <row r="24">
      <c r="A24" s="24" t="n">
        <v>21</v>
      </c>
      <c r="B24" s="32" t="inlineStr">
        <is>
          <t>19. Итог</t>
        </is>
      </c>
      <c r="C24" s="24" t="inlineStr">
        <is>
          <t>Что понял, где главная неопределённость, что буду отслеживать. Без совета покупать или продавать</t>
        </is>
      </c>
      <c r="D24" s="27" t="n"/>
      <c r="E24" s="27" t="n"/>
      <c r="F24" s="27" t="n"/>
      <c r="G24" s="27" t="inlineStr">
        <is>
          <t>Не заполнено</t>
        </is>
      </c>
    </row>
  </sheetData>
  <autoFilter ref="A2:G2"/>
  <conditionalFormatting sqref="G3:G24">
    <cfRule type="cellIs" priority="1" operator="equal" dxfId="0">
      <formula>"Готово"</formula>
    </cfRule>
    <cfRule type="cellIs" priority="2" operator="equal" dxfId="3">
      <formula>"Не заполнено"</formula>
    </cfRule>
  </conditionalFormatting>
  <dataValidations count="2">
    <dataValidation sqref="F3:F24" showDropDown="0" showInputMessage="0" showErrorMessage="0" allowBlank="1" type="list">
      <formula1>"Факт,Прогноз,Допущение,Мнение,Вывод"</formula1>
    </dataValidation>
    <dataValidation sqref="G3:G24" showDropDown="0" showInputMessage="0" showErrorMessage="0" allowBlank="1" type="list">
      <formula1>"Не заполнено,В работе,Готово"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7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Review Calendar / Календарь интервального повторения</t>
        </is>
      </c>
      <c r="D1" s="2" t="inlineStr">
        <is>
          <t>Заполняйте колонки A, B, C, I и L. Даты повторений (D–H), следующее повторение (J) и статус (K) считаются формулами автоматически.</t>
        </is>
      </c>
    </row>
    <row r="2" ht="34" customHeight="1">
      <c r="A2" s="23" t="inlineStr">
        <is>
          <t>Тема или термин</t>
        </is>
      </c>
      <c r="B2" s="23" t="inlineStr">
        <is>
          <t>Уровень</t>
        </is>
      </c>
      <c r="C2" s="23" t="inlineStr">
        <is>
          <t>Дата изучения</t>
        </is>
      </c>
      <c r="D2" s="23" t="inlineStr">
        <is>
          <t>Повтор +1 день</t>
        </is>
      </c>
      <c r="E2" s="23" t="inlineStr">
        <is>
          <t>Повтор +3 дня</t>
        </is>
      </c>
      <c r="F2" s="23" t="inlineStr">
        <is>
          <t>Повтор +7 дней</t>
        </is>
      </c>
      <c r="G2" s="23" t="inlineStr">
        <is>
          <t>Повтор +14 дней</t>
        </is>
      </c>
      <c r="H2" s="23" t="inlineStr">
        <is>
          <t>Повтор +30 дней</t>
        </is>
      </c>
      <c r="I2" s="23" t="inlineStr">
        <is>
          <t>Выполнено повторов (0-5)</t>
        </is>
      </c>
      <c r="J2" s="23" t="inlineStr">
        <is>
          <t>Следующее повторение</t>
        </is>
      </c>
      <c r="K2" s="23" t="inlineStr">
        <is>
          <t>Статус</t>
        </is>
      </c>
      <c r="L2" s="23" t="inlineStr">
        <is>
          <t>Заметка</t>
        </is>
      </c>
    </row>
    <row r="3">
      <c r="A3" s="24" t="inlineStr">
        <is>
          <t>Рыночная капитализация: цена × число акций</t>
        </is>
      </c>
      <c r="B3" s="24" t="n">
        <v>0</v>
      </c>
      <c r="C3" s="26" t="n"/>
      <c r="D3" s="28">
        <f>IF($C3="","",$C3+1)</f>
        <v/>
      </c>
      <c r="E3" s="28">
        <f>IF($C3="","",$C3+3)</f>
        <v/>
      </c>
      <c r="F3" s="28">
        <f>IF($C3="","",$C3+7)</f>
        <v/>
      </c>
      <c r="G3" s="28">
        <f>IF($C3="","",$C3+14)</f>
        <v/>
      </c>
      <c r="H3" s="28">
        <f>IF($C3="","",$C3+30)</f>
        <v/>
      </c>
      <c r="I3" s="27" t="n">
        <v>0</v>
      </c>
      <c r="J3" s="28">
        <f>IF($C3="","",IF($I3&gt;=5,"",CHOOSE($I3+1,$D3,$E3,$F3,$G3,$H3)))</f>
        <v/>
      </c>
      <c r="K3" s="33">
        <f>IF($C3="","",IF($I3&gt;=5,"Цикл завершён",IF(TODAY()&gt;=$J3,"Повторить сегодня",IF(TODAY()&gt;=$J3-1,"Скоро повтор","Понятно, ждём"))))</f>
        <v/>
      </c>
      <c r="L3" s="27" t="n"/>
    </row>
    <row r="4">
      <c r="A4" s="24" t="inlineStr">
        <is>
          <t>Компания против акции</t>
        </is>
      </c>
      <c r="B4" s="24" t="n">
        <v>0</v>
      </c>
      <c r="C4" s="26" t="n"/>
      <c r="D4" s="28">
        <f>IF($C4="","",$C4+1)</f>
        <v/>
      </c>
      <c r="E4" s="28">
        <f>IF($C4="","",$C4+3)</f>
        <v/>
      </c>
      <c r="F4" s="28">
        <f>IF($C4="","",$C4+7)</f>
        <v/>
      </c>
      <c r="G4" s="28">
        <f>IF($C4="","",$C4+14)</f>
        <v/>
      </c>
      <c r="H4" s="28">
        <f>IF($C4="","",$C4+30)</f>
        <v/>
      </c>
      <c r="I4" s="27" t="n">
        <v>0</v>
      </c>
      <c r="J4" s="28">
        <f>IF($C4="","",IF($I4&gt;=5,"",CHOOSE($I4+1,$D4,$E4,$F4,$G4,$H4)))</f>
        <v/>
      </c>
      <c r="K4" s="33">
        <f>IF($C4="","",IF($I4&gt;=5,"Цикл завершён",IF(TODAY()&gt;=$J4,"Повторить сегодня",IF(TODAY()&gt;=$J4-1,"Скоро повтор","Понятно, ждём"))))</f>
        <v/>
      </c>
      <c r="L4" s="27" t="n"/>
    </row>
    <row r="5">
      <c r="A5" s="24" t="inlineStr">
        <is>
          <t>Free float и разводнение</t>
        </is>
      </c>
      <c r="B5" s="24" t="n">
        <v>0</v>
      </c>
      <c r="C5" s="26" t="n"/>
      <c r="D5" s="28">
        <f>IF($C5="","",$C5+1)</f>
        <v/>
      </c>
      <c r="E5" s="28">
        <f>IF($C5="","",$C5+3)</f>
        <v/>
      </c>
      <c r="F5" s="28">
        <f>IF($C5="","",$C5+7)</f>
        <v/>
      </c>
      <c r="G5" s="28">
        <f>IF($C5="","",$C5+14)</f>
        <v/>
      </c>
      <c r="H5" s="28">
        <f>IF($C5="","",$C5+30)</f>
        <v/>
      </c>
      <c r="I5" s="27" t="n">
        <v>0</v>
      </c>
      <c r="J5" s="28">
        <f>IF($C5="","",IF($I5&gt;=5,"",CHOOSE($I5+1,$D5,$E5,$F5,$G5,$H5)))</f>
        <v/>
      </c>
      <c r="K5" s="33">
        <f>IF($C5="","",IF($I5&gt;=5,"Цикл завершён",IF(TODAY()&gt;=$J5,"Повторить сегодня",IF(TODAY()&gt;=$J5-1,"Скоро повтор","Понятно, ждём"))))</f>
        <v/>
      </c>
      <c r="L5" s="27" t="n"/>
    </row>
    <row r="6">
      <c r="A6" s="24" t="inlineStr">
        <is>
          <t>Bid, ask, спред; рыночная и лимитная заявка</t>
        </is>
      </c>
      <c r="B6" s="24" t="n">
        <v>1</v>
      </c>
      <c r="C6" s="26" t="n"/>
      <c r="D6" s="28">
        <f>IF($C6="","",$C6+1)</f>
        <v/>
      </c>
      <c r="E6" s="28">
        <f>IF($C6="","",$C6+3)</f>
        <v/>
      </c>
      <c r="F6" s="28">
        <f>IF($C6="","",$C6+7)</f>
        <v/>
      </c>
      <c r="G6" s="28">
        <f>IF($C6="","",$C6+14)</f>
        <v/>
      </c>
      <c r="H6" s="28">
        <f>IF($C6="","",$C6+30)</f>
        <v/>
      </c>
      <c r="I6" s="27" t="n">
        <v>0</v>
      </c>
      <c r="J6" s="28">
        <f>IF($C6="","",IF($I6&gt;=5,"",CHOOSE($I6+1,$D6,$E6,$F6,$G6,$H6)))</f>
        <v/>
      </c>
      <c r="K6" s="33">
        <f>IF($C6="","",IF($I6&gt;=5,"Цикл завершён",IF(TODAY()&gt;=$J6,"Повторить сегодня",IF(TODAY()&gt;=$J6-1,"Скоро повтор","Понятно, ждём"))))</f>
        <v/>
      </c>
      <c r="L6" s="27" t="n"/>
    </row>
    <row r="7">
      <c r="A7" s="24" t="inlineStr">
        <is>
          <t>Дата отсечения и поведение цены</t>
        </is>
      </c>
      <c r="B7" s="24" t="n">
        <v>1</v>
      </c>
      <c r="C7" s="26" t="n"/>
      <c r="D7" s="28">
        <f>IF($C7="","",$C7+1)</f>
        <v/>
      </c>
      <c r="E7" s="28">
        <f>IF($C7="","",$C7+3)</f>
        <v/>
      </c>
      <c r="F7" s="28">
        <f>IF($C7="","",$C7+7)</f>
        <v/>
      </c>
      <c r="G7" s="28">
        <f>IF($C7="","",$C7+14)</f>
        <v/>
      </c>
      <c r="H7" s="28">
        <f>IF($C7="","",$C7+30)</f>
        <v/>
      </c>
      <c r="I7" s="27" t="n">
        <v>0</v>
      </c>
      <c r="J7" s="28">
        <f>IF($C7="","",IF($I7&gt;=5,"",CHOOSE($I7+1,$D7,$E7,$F7,$G7,$H7)))</f>
        <v/>
      </c>
      <c r="K7" s="33">
        <f>IF($C7="","",IF($I7&gt;=5,"Цикл завершён",IF(TODAY()&gt;=$J7,"Повторить сегодня",IF(TODAY()&gt;=$J7-1,"Скоро повтор","Понятно, ждём"))))</f>
        <v/>
      </c>
      <c r="L7" s="27" t="n"/>
    </row>
    <row r="8">
      <c r="A8" s="24" t="inlineStr">
        <is>
          <t>Три отчёта и их связь</t>
        </is>
      </c>
      <c r="B8" s="24" t="n">
        <v>2</v>
      </c>
      <c r="C8" s="26" t="n"/>
      <c r="D8" s="28">
        <f>IF($C8="","",$C8+1)</f>
        <v/>
      </c>
      <c r="E8" s="28">
        <f>IF($C8="","",$C8+3)</f>
        <v/>
      </c>
      <c r="F8" s="28">
        <f>IF($C8="","",$C8+7)</f>
        <v/>
      </c>
      <c r="G8" s="28">
        <f>IF($C8="","",$C8+14)</f>
        <v/>
      </c>
      <c r="H8" s="28">
        <f>IF($C8="","",$C8+30)</f>
        <v/>
      </c>
      <c r="I8" s="27" t="n">
        <v>0</v>
      </c>
      <c r="J8" s="28">
        <f>IF($C8="","",IF($I8&gt;=5,"",CHOOSE($I8+1,$D8,$E8,$F8,$G8,$H8)))</f>
        <v/>
      </c>
      <c r="K8" s="33">
        <f>IF($C8="","",IF($I8&gt;=5,"Цикл завершён",IF(TODAY()&gt;=$J8,"Повторить сегодня",IF(TODAY()&gt;=$J8-1,"Скоро повтор","Понятно, ждём"))))</f>
        <v/>
      </c>
      <c r="L8" s="27" t="n"/>
    </row>
    <row r="9">
      <c r="A9" s="24" t="inlineStr">
        <is>
          <t>Прибыль ≠ деньги: три причины</t>
        </is>
      </c>
      <c r="B9" s="24" t="n">
        <v>2</v>
      </c>
      <c r="C9" s="26" t="n"/>
      <c r="D9" s="28">
        <f>IF($C9="","",$C9+1)</f>
        <v/>
      </c>
      <c r="E9" s="28">
        <f>IF($C9="","",$C9+3)</f>
        <v/>
      </c>
      <c r="F9" s="28">
        <f>IF($C9="","",$C9+7)</f>
        <v/>
      </c>
      <c r="G9" s="28">
        <f>IF($C9="","",$C9+14)</f>
        <v/>
      </c>
      <c r="H9" s="28">
        <f>IF($C9="","",$C9+30)</f>
        <v/>
      </c>
      <c r="I9" s="27" t="n">
        <v>0</v>
      </c>
      <c r="J9" s="28">
        <f>IF($C9="","",IF($I9&gt;=5,"",CHOOSE($I9+1,$D9,$E9,$F9,$G9,$H9)))</f>
        <v/>
      </c>
      <c r="K9" s="33">
        <f>IF($C9="","",IF($I9&gt;=5,"Цикл завершён",IF(TODAY()&gt;=$J9,"Повторить сегодня",IF(TODAY()&gt;=$J9-1,"Скоро повтор","Понятно, ждём"))))</f>
        <v/>
      </c>
      <c r="L9" s="27" t="n"/>
    </row>
    <row r="10">
      <c r="A10" s="24" t="inlineStr">
        <is>
          <t>Gross / Operating / Net маржа</t>
        </is>
      </c>
      <c r="B10" s="24" t="n">
        <v>3</v>
      </c>
      <c r="C10" s="26" t="n"/>
      <c r="D10" s="28">
        <f>IF($C10="","",$C10+1)</f>
        <v/>
      </c>
      <c r="E10" s="28">
        <f>IF($C10="","",$C10+3)</f>
        <v/>
      </c>
      <c r="F10" s="28">
        <f>IF($C10="","",$C10+7)</f>
        <v/>
      </c>
      <c r="G10" s="28">
        <f>IF($C10="","",$C10+14)</f>
        <v/>
      </c>
      <c r="H10" s="28">
        <f>IF($C10="","",$C10+30)</f>
        <v/>
      </c>
      <c r="I10" s="27" t="n">
        <v>0</v>
      </c>
      <c r="J10" s="28">
        <f>IF($C10="","",IF($I10&gt;=5,"",CHOOSE($I10+1,$D10,$E10,$F10,$G10,$H10)))</f>
        <v/>
      </c>
      <c r="K10" s="33">
        <f>IF($C10="","",IF($I10&gt;=5,"Цикл завершён",IF(TODAY()&gt;=$J10,"Повторить сегодня",IF(TODAY()&gt;=$J10-1,"Скоро повтор","Понятно, ждём"))))</f>
        <v/>
      </c>
      <c r="L10" s="27" t="n"/>
    </row>
    <row r="11">
      <c r="A11" s="24" t="inlineStr">
        <is>
          <t>EBITDA = EBIT + D&amp;A и её ограничения</t>
        </is>
      </c>
      <c r="B11" s="24" t="n">
        <v>3</v>
      </c>
      <c r="C11" s="26" t="n"/>
      <c r="D11" s="28">
        <f>IF($C11="","",$C11+1)</f>
        <v/>
      </c>
      <c r="E11" s="28">
        <f>IF($C11="","",$C11+3)</f>
        <v/>
      </c>
      <c r="F11" s="28">
        <f>IF($C11="","",$C11+7)</f>
        <v/>
      </c>
      <c r="G11" s="28">
        <f>IF($C11="","",$C11+14)</f>
        <v/>
      </c>
      <c r="H11" s="28">
        <f>IF($C11="","",$C11+30)</f>
        <v/>
      </c>
      <c r="I11" s="27" t="n">
        <v>0</v>
      </c>
      <c r="J11" s="28">
        <f>IF($C11="","",IF($I11&gt;=5,"",CHOOSE($I11+1,$D11,$E11,$F11,$G11,$H11)))</f>
        <v/>
      </c>
      <c r="K11" s="33">
        <f>IF($C11="","",IF($I11&gt;=5,"Цикл завершён",IF(TODAY()&gt;=$J11,"Повторить сегодня",IF(TODAY()&gt;=$J11-1,"Скоро повтор","Понятно, ждём"))))</f>
        <v/>
      </c>
      <c r="L11" s="27" t="n"/>
    </row>
    <row r="12">
      <c r="A12" s="24" t="inlineStr">
        <is>
          <t>Adjusted EBITDA: что исключают и почему это спорно</t>
        </is>
      </c>
      <c r="B12" s="24" t="n">
        <v>3</v>
      </c>
      <c r="C12" s="26" t="n"/>
      <c r="D12" s="28">
        <f>IF($C12="","",$C12+1)</f>
        <v/>
      </c>
      <c r="E12" s="28">
        <f>IF($C12="","",$C12+3)</f>
        <v/>
      </c>
      <c r="F12" s="28">
        <f>IF($C12="","",$C12+7)</f>
        <v/>
      </c>
      <c r="G12" s="28">
        <f>IF($C12="","",$C12+14)</f>
        <v/>
      </c>
      <c r="H12" s="28">
        <f>IF($C12="","",$C12+30)</f>
        <v/>
      </c>
      <c r="I12" s="27" t="n">
        <v>0</v>
      </c>
      <c r="J12" s="28">
        <f>IF($C12="","",IF($I12&gt;=5,"",CHOOSE($I12+1,$D12,$E12,$F12,$G12,$H12)))</f>
        <v/>
      </c>
      <c r="K12" s="33">
        <f>IF($C12="","",IF($I12&gt;=5,"Цикл завершён",IF(TODAY()&gt;=$J12,"Повторить сегодня",IF(TODAY()&gt;=$J12-1,"Скоро повтор","Понятно, ждём"))))</f>
        <v/>
      </c>
      <c r="L12" s="27" t="n"/>
    </row>
    <row r="13">
      <c r="A13" s="24" t="inlineStr">
        <is>
          <t>Trailing против Forward</t>
        </is>
      </c>
      <c r="B13" s="24" t="n">
        <v>3</v>
      </c>
      <c r="C13" s="26" t="n"/>
      <c r="D13" s="28">
        <f>IF($C13="","",$C13+1)</f>
        <v/>
      </c>
      <c r="E13" s="28">
        <f>IF($C13="","",$C13+3)</f>
        <v/>
      </c>
      <c r="F13" s="28">
        <f>IF($C13="","",$C13+7)</f>
        <v/>
      </c>
      <c r="G13" s="28">
        <f>IF($C13="","",$C13+14)</f>
        <v/>
      </c>
      <c r="H13" s="28">
        <f>IF($C13="","",$C13+30)</f>
        <v/>
      </c>
      <c r="I13" s="27" t="n">
        <v>0</v>
      </c>
      <c r="J13" s="28">
        <f>IF($C13="","",IF($I13&gt;=5,"",CHOOSE($I13+1,$D13,$E13,$F13,$G13,$H13)))</f>
        <v/>
      </c>
      <c r="K13" s="33">
        <f>IF($C13="","",IF($I13&gt;=5,"Цикл завершён",IF(TODAY()&gt;=$J13,"Повторить сегодня",IF(TODAY()&gt;=$J13-1,"Скоро повтор","Понятно, ждём"))))</f>
        <v/>
      </c>
      <c r="L13" s="27" t="n"/>
    </row>
    <row r="14">
      <c r="A14" s="24" t="inlineStr">
        <is>
          <t>FCF = OCF − CapEx</t>
        </is>
      </c>
      <c r="B14" s="24" t="n">
        <v>3</v>
      </c>
      <c r="C14" s="26" t="n"/>
      <c r="D14" s="28">
        <f>IF($C14="","",$C14+1)</f>
        <v/>
      </c>
      <c r="E14" s="28">
        <f>IF($C14="","",$C14+3)</f>
        <v/>
      </c>
      <c r="F14" s="28">
        <f>IF($C14="","",$C14+7)</f>
        <v/>
      </c>
      <c r="G14" s="28">
        <f>IF($C14="","",$C14+14)</f>
        <v/>
      </c>
      <c r="H14" s="28">
        <f>IF($C14="","",$C14+30)</f>
        <v/>
      </c>
      <c r="I14" s="27" t="n">
        <v>0</v>
      </c>
      <c r="J14" s="28">
        <f>IF($C14="","",IF($I14&gt;=5,"",CHOOSE($I14+1,$D14,$E14,$F14,$G14,$H14)))</f>
        <v/>
      </c>
      <c r="K14" s="33">
        <f>IF($C14="","",IF($I14&gt;=5,"Цикл завершён",IF(TODAY()&gt;=$J14,"Повторить сегодня",IF(TODAY()&gt;=$J14-1,"Скоро повтор","Понятно, ждём"))))</f>
        <v/>
      </c>
      <c r="L14" s="27" t="n"/>
    </row>
    <row r="15">
      <c r="A15" s="24" t="inlineStr">
        <is>
          <t>ROIC против WACC</t>
        </is>
      </c>
      <c r="B15" s="24" t="n">
        <v>3</v>
      </c>
      <c r="C15" s="26" t="n"/>
      <c r="D15" s="28">
        <f>IF($C15="","",$C15+1)</f>
        <v/>
      </c>
      <c r="E15" s="28">
        <f>IF($C15="","",$C15+3)</f>
        <v/>
      </c>
      <c r="F15" s="28">
        <f>IF($C15="","",$C15+7)</f>
        <v/>
      </c>
      <c r="G15" s="28">
        <f>IF($C15="","",$C15+14)</f>
        <v/>
      </c>
      <c r="H15" s="28">
        <f>IF($C15="","",$C15+30)</f>
        <v/>
      </c>
      <c r="I15" s="27" t="n">
        <v>0</v>
      </c>
      <c r="J15" s="28">
        <f>IF($C15="","",IF($I15&gt;=5,"",CHOOSE($I15+1,$D15,$E15,$F15,$G15,$H15)))</f>
        <v/>
      </c>
      <c r="K15" s="33">
        <f>IF($C15="","",IF($I15&gt;=5,"Цикл завершён",IF(TODAY()&gt;=$J15,"Повторить сегодня",IF(TODAY()&gt;=$J15-1,"Скоро повтор","Понятно, ждём"))))</f>
        <v/>
      </c>
      <c r="L15" s="27" t="n"/>
    </row>
    <row r="16">
      <c r="A16" s="24" t="inlineStr">
        <is>
          <t>Net Debt и Debt/EBITDA</t>
        </is>
      </c>
      <c r="B16" s="24" t="n">
        <v>3</v>
      </c>
      <c r="C16" s="26" t="n"/>
      <c r="D16" s="28">
        <f>IF($C16="","",$C16+1)</f>
        <v/>
      </c>
      <c r="E16" s="28">
        <f>IF($C16="","",$C16+3)</f>
        <v/>
      </c>
      <c r="F16" s="28">
        <f>IF($C16="","",$C16+7)</f>
        <v/>
      </c>
      <c r="G16" s="28">
        <f>IF($C16="","",$C16+14)</f>
        <v/>
      </c>
      <c r="H16" s="28">
        <f>IF($C16="","",$C16+30)</f>
        <v/>
      </c>
      <c r="I16" s="27" t="n">
        <v>0</v>
      </c>
      <c r="J16" s="28">
        <f>IF($C16="","",IF($I16&gt;=5,"",CHOOSE($I16+1,$D16,$E16,$F16,$G16,$H16)))</f>
        <v/>
      </c>
      <c r="K16" s="33">
        <f>IF($C16="","",IF($I16&gt;=5,"Цикл завершён",IF(TODAY()&gt;=$J16,"Повторить сегодня",IF(TODAY()&gt;=$J16-1,"Скоро повтор","Понятно, ждём"))))</f>
        <v/>
      </c>
      <c r="L16" s="27" t="n"/>
    </row>
    <row r="17">
      <c r="A17" s="24" t="inlineStr">
        <is>
          <t>Moat: пять источников</t>
        </is>
      </c>
      <c r="B17" s="24" t="n">
        <v>4</v>
      </c>
      <c r="C17" s="26" t="n"/>
      <c r="D17" s="28">
        <f>IF($C17="","",$C17+1)</f>
        <v/>
      </c>
      <c r="E17" s="28">
        <f>IF($C17="","",$C17+3)</f>
        <v/>
      </c>
      <c r="F17" s="28">
        <f>IF($C17="","",$C17+7)</f>
        <v/>
      </c>
      <c r="G17" s="28">
        <f>IF($C17="","",$C17+14)</f>
        <v/>
      </c>
      <c r="H17" s="28">
        <f>IF($C17="","",$C17+30)</f>
        <v/>
      </c>
      <c r="I17" s="27" t="n">
        <v>0</v>
      </c>
      <c r="J17" s="28">
        <f>IF($C17="","",IF($I17&gt;=5,"",CHOOSE($I17+1,$D17,$E17,$F17,$G17,$H17)))</f>
        <v/>
      </c>
      <c r="K17" s="33">
        <f>IF($C17="","",IF($I17&gt;=5,"Цикл завершён",IF(TODAY()&gt;=$J17,"Повторить сегодня",IF(TODAY()&gt;=$J17-1,"Скоро повтор","Понятно, ждём"))))</f>
        <v/>
      </c>
      <c r="L17" s="27" t="n"/>
    </row>
    <row r="18">
      <c r="A18" s="24" t="inlineStr">
        <is>
          <t>Концентрация клиентов</t>
        </is>
      </c>
      <c r="B18" s="24" t="n">
        <v>4</v>
      </c>
      <c r="C18" s="26" t="n"/>
      <c r="D18" s="28">
        <f>IF($C18="","",$C18+1)</f>
        <v/>
      </c>
      <c r="E18" s="28">
        <f>IF($C18="","",$C18+3)</f>
        <v/>
      </c>
      <c r="F18" s="28">
        <f>IF($C18="","",$C18+7)</f>
        <v/>
      </c>
      <c r="G18" s="28">
        <f>IF($C18="","",$C18+14)</f>
        <v/>
      </c>
      <c r="H18" s="28">
        <f>IF($C18="","",$C18+30)</f>
        <v/>
      </c>
      <c r="I18" s="27" t="n">
        <v>0</v>
      </c>
      <c r="J18" s="28">
        <f>IF($C18="","",IF($I18&gt;=5,"",CHOOSE($I18+1,$D18,$E18,$F18,$G18,$H18)))</f>
        <v/>
      </c>
      <c r="K18" s="33">
        <f>IF($C18="","",IF($I18&gt;=5,"Цикл завершён",IF(TODAY()&gt;=$J18,"Повторить сегодня",IF(TODAY()&gt;=$J18-1,"Скоро повтор","Понятно, ждём"))))</f>
        <v/>
      </c>
      <c r="L18" s="27" t="n"/>
    </row>
    <row r="19">
      <c r="A19" s="24" t="inlineStr">
        <is>
          <t>Цикличность и нормализация прибыли</t>
        </is>
      </c>
      <c r="B19" s="24" t="n">
        <v>5</v>
      </c>
      <c r="C19" s="26" t="n"/>
      <c r="D19" s="28">
        <f>IF($C19="","",$C19+1)</f>
        <v/>
      </c>
      <c r="E19" s="28">
        <f>IF($C19="","",$C19+3)</f>
        <v/>
      </c>
      <c r="F19" s="28">
        <f>IF($C19="","",$C19+7)</f>
        <v/>
      </c>
      <c r="G19" s="28">
        <f>IF($C19="","",$C19+14)</f>
        <v/>
      </c>
      <c r="H19" s="28">
        <f>IF($C19="","",$C19+30)</f>
        <v/>
      </c>
      <c r="I19" s="27" t="n">
        <v>0</v>
      </c>
      <c r="J19" s="28">
        <f>IF($C19="","",IF($I19&gt;=5,"",CHOOSE($I19+1,$D19,$E19,$F19,$G19,$H19)))</f>
        <v/>
      </c>
      <c r="K19" s="33">
        <f>IF($C19="","",IF($I19&gt;=5,"Цикл завершён",IF(TODAY()&gt;=$J19,"Повторить сегодня",IF(TODAY()&gt;=$J19-1,"Скоро повтор","Понятно, ждём"))))</f>
        <v/>
      </c>
      <c r="L19" s="27" t="n"/>
    </row>
    <row r="20">
      <c r="A20" s="24" t="inlineStr">
        <is>
          <t>Enterprise Value = Market Cap + Долг − Деньги</t>
        </is>
      </c>
      <c r="B20" s="24" t="n">
        <v>6</v>
      </c>
      <c r="C20" s="26" t="n"/>
      <c r="D20" s="28">
        <f>IF($C20="","",$C20+1)</f>
        <v/>
      </c>
      <c r="E20" s="28">
        <f>IF($C20="","",$C20+3)</f>
        <v/>
      </c>
      <c r="F20" s="28">
        <f>IF($C20="","",$C20+7)</f>
        <v/>
      </c>
      <c r="G20" s="28">
        <f>IF($C20="","",$C20+14)</f>
        <v/>
      </c>
      <c r="H20" s="28">
        <f>IF($C20="","",$C20+30)</f>
        <v/>
      </c>
      <c r="I20" s="27" t="n">
        <v>0</v>
      </c>
      <c r="J20" s="28">
        <f>IF($C20="","",IF($I20&gt;=5,"",CHOOSE($I20+1,$D20,$E20,$F20,$G20,$H20)))</f>
        <v/>
      </c>
      <c r="K20" s="33">
        <f>IF($C20="","",IF($I20&gt;=5,"Цикл завершён",IF(TODAY()&gt;=$J20,"Повторить сегодня",IF(TODAY()&gt;=$J20-1,"Скоро повтор","Понятно, ждём"))))</f>
        <v/>
      </c>
      <c r="L20" s="27" t="n"/>
    </row>
    <row r="21">
      <c r="A21" s="24" t="inlineStr">
        <is>
          <t>Соответствие числителя и знаменателя мультипликатора</t>
        </is>
      </c>
      <c r="B21" s="24" t="n">
        <v>6</v>
      </c>
      <c r="C21" s="26" t="n"/>
      <c r="D21" s="28">
        <f>IF($C21="","",$C21+1)</f>
        <v/>
      </c>
      <c r="E21" s="28">
        <f>IF($C21="","",$C21+3)</f>
        <v/>
      </c>
      <c r="F21" s="28">
        <f>IF($C21="","",$C21+7)</f>
        <v/>
      </c>
      <c r="G21" s="28">
        <f>IF($C21="","",$C21+14)</f>
        <v/>
      </c>
      <c r="H21" s="28">
        <f>IF($C21="","",$C21+30)</f>
        <v/>
      </c>
      <c r="I21" s="27" t="n">
        <v>0</v>
      </c>
      <c r="J21" s="28">
        <f>IF($C21="","",IF($I21&gt;=5,"",CHOOSE($I21+1,$D21,$E21,$F21,$G21,$H21)))</f>
        <v/>
      </c>
      <c r="K21" s="33">
        <f>IF($C21="","",IF($I21&gt;=5,"Цикл завершён",IF(TODAY()&gt;=$J21,"Повторить сегодня",IF(TODAY()&gt;=$J21-1,"Скоро повтор","Понятно, ждём"))))</f>
        <v/>
      </c>
      <c r="L21" s="27" t="n"/>
    </row>
    <row r="22">
      <c r="A22" s="24" t="inlineStr">
        <is>
          <t>Разбор задач из видео: 145× и рост в 7,6 раза</t>
        </is>
      </c>
      <c r="B22" s="24" t="n">
        <v>6</v>
      </c>
      <c r="C22" s="26" t="n"/>
      <c r="D22" s="28">
        <f>IF($C22="","",$C22+1)</f>
        <v/>
      </c>
      <c r="E22" s="28">
        <f>IF($C22="","",$C22+3)</f>
        <v/>
      </c>
      <c r="F22" s="28">
        <f>IF($C22="","",$C22+7)</f>
        <v/>
      </c>
      <c r="G22" s="28">
        <f>IF($C22="","",$C22+14)</f>
        <v/>
      </c>
      <c r="H22" s="28">
        <f>IF($C22="","",$C22+30)</f>
        <v/>
      </c>
      <c r="I22" s="27" t="n">
        <v>0</v>
      </c>
      <c r="J22" s="28">
        <f>IF($C22="","",IF($I22&gt;=5,"",CHOOSE($I22+1,$D22,$E22,$F22,$G22,$H22)))</f>
        <v/>
      </c>
      <c r="K22" s="33">
        <f>IF($C22="","",IF($I22&gt;=5,"Цикл завершён",IF(TODAY()&gt;=$J22,"Повторить сегодня",IF(TODAY()&gt;=$J22-1,"Скоро повтор","Понятно, ждём"))))</f>
        <v/>
      </c>
      <c r="L22" s="27" t="n"/>
    </row>
    <row r="23">
      <c r="A23" s="24" t="inlineStr">
        <is>
          <t>CAGR: перевод «во сколько раз» в % годовых</t>
        </is>
      </c>
      <c r="B23" s="24" t="n">
        <v>6</v>
      </c>
      <c r="C23" s="26" t="n"/>
      <c r="D23" s="28">
        <f>IF($C23="","",$C23+1)</f>
        <v/>
      </c>
      <c r="E23" s="28">
        <f>IF($C23="","",$C23+3)</f>
        <v/>
      </c>
      <c r="F23" s="28">
        <f>IF($C23="","",$C23+7)</f>
        <v/>
      </c>
      <c r="G23" s="28">
        <f>IF($C23="","",$C23+14)</f>
        <v/>
      </c>
      <c r="H23" s="28">
        <f>IF($C23="","",$C23+30)</f>
        <v/>
      </c>
      <c r="I23" s="27" t="n">
        <v>0</v>
      </c>
      <c r="J23" s="28">
        <f>IF($C23="","",IF($I23&gt;=5,"",CHOOSE($I23+1,$D23,$E23,$F23,$G23,$H23)))</f>
        <v/>
      </c>
      <c r="K23" s="33">
        <f>IF($C23="","",IF($I23&gt;=5,"Цикл завершён",IF(TODAY()&gt;=$J23,"Повторить сегодня",IF(TODAY()&gt;=$J23-1,"Скоро повтор","Понятно, ждём"))))</f>
        <v/>
      </c>
      <c r="L23" s="27" t="n"/>
    </row>
    <row r="24">
      <c r="A24" s="24" t="inlineStr">
        <is>
          <t>Приведённая стоимость PV = FV/(1+r)^n</t>
        </is>
      </c>
      <c r="B24" s="24" t="n">
        <v>7</v>
      </c>
      <c r="C24" s="26" t="n"/>
      <c r="D24" s="28">
        <f>IF($C24="","",$C24+1)</f>
        <v/>
      </c>
      <c r="E24" s="28">
        <f>IF($C24="","",$C24+3)</f>
        <v/>
      </c>
      <c r="F24" s="28">
        <f>IF($C24="","",$C24+7)</f>
        <v/>
      </c>
      <c r="G24" s="28">
        <f>IF($C24="","",$C24+14)</f>
        <v/>
      </c>
      <c r="H24" s="28">
        <f>IF($C24="","",$C24+30)</f>
        <v/>
      </c>
      <c r="I24" s="27" t="n">
        <v>0</v>
      </c>
      <c r="J24" s="28">
        <f>IF($C24="","",IF($I24&gt;=5,"",CHOOSE($I24+1,$D24,$E24,$F24,$G24,$H24)))</f>
        <v/>
      </c>
      <c r="K24" s="33">
        <f>IF($C24="","",IF($I24&gt;=5,"Цикл завершён",IF(TODAY()&gt;=$J24,"Повторить сегодня",IF(TODAY()&gt;=$J24-1,"Скоро повтор","Понятно, ждём"))))</f>
        <v/>
      </c>
      <c r="L24" s="27" t="n"/>
    </row>
    <row r="25">
      <c r="A25" s="24" t="inlineStr">
        <is>
          <t>WACC по формуле</t>
        </is>
      </c>
      <c r="B25" s="24" t="n">
        <v>7</v>
      </c>
      <c r="C25" s="26" t="n"/>
      <c r="D25" s="28">
        <f>IF($C25="","",$C25+1)</f>
        <v/>
      </c>
      <c r="E25" s="28">
        <f>IF($C25="","",$C25+3)</f>
        <v/>
      </c>
      <c r="F25" s="28">
        <f>IF($C25="","",$C25+7)</f>
        <v/>
      </c>
      <c r="G25" s="28">
        <f>IF($C25="","",$C25+14)</f>
        <v/>
      </c>
      <c r="H25" s="28">
        <f>IF($C25="","",$C25+30)</f>
        <v/>
      </c>
      <c r="I25" s="27" t="n">
        <v>0</v>
      </c>
      <c r="J25" s="28">
        <f>IF($C25="","",IF($I25&gt;=5,"",CHOOSE($I25+1,$D25,$E25,$F25,$G25,$H25)))</f>
        <v/>
      </c>
      <c r="K25" s="33">
        <f>IF($C25="","",IF($I25&gt;=5,"Цикл завершён",IF(TODAY()&gt;=$J25,"Повторить сегодня",IF(TODAY()&gt;=$J25-1,"Скоро повтор","Понятно, ждём"))))</f>
        <v/>
      </c>
      <c r="L25" s="27" t="n"/>
    </row>
    <row r="26">
      <c r="A26" s="24" t="inlineStr">
        <is>
          <t>Терминальная стоимость и её доля в DCF</t>
        </is>
      </c>
      <c r="B26" s="24" t="n">
        <v>7</v>
      </c>
      <c r="C26" s="26" t="n"/>
      <c r="D26" s="28">
        <f>IF($C26="","",$C26+1)</f>
        <v/>
      </c>
      <c r="E26" s="28">
        <f>IF($C26="","",$C26+3)</f>
        <v/>
      </c>
      <c r="F26" s="28">
        <f>IF($C26="","",$C26+7)</f>
        <v/>
      </c>
      <c r="G26" s="28">
        <f>IF($C26="","",$C26+14)</f>
        <v/>
      </c>
      <c r="H26" s="28">
        <f>IF($C26="","",$C26+30)</f>
        <v/>
      </c>
      <c r="I26" s="27" t="n">
        <v>0</v>
      </c>
      <c r="J26" s="28">
        <f>IF($C26="","",IF($I26&gt;=5,"",CHOOSE($I26+1,$D26,$E26,$F26,$G26,$H26)))</f>
        <v/>
      </c>
      <c r="K26" s="33">
        <f>IF($C26="","",IF($I26&gt;=5,"Цикл завершён",IF(TODAY()&gt;=$J26,"Повторить сегодня",IF(TODAY()&gt;=$J26-1,"Скоро повтор","Понятно, ждём"))))</f>
        <v/>
      </c>
      <c r="L26" s="27" t="n"/>
    </row>
    <row r="27">
      <c r="A27" s="24" t="inlineStr">
        <is>
          <t>Margin of Safety</t>
        </is>
      </c>
      <c r="B27" s="24" t="n">
        <v>7</v>
      </c>
      <c r="C27" s="26" t="n"/>
      <c r="D27" s="28">
        <f>IF($C27="","",$C27+1)</f>
        <v/>
      </c>
      <c r="E27" s="28">
        <f>IF($C27="","",$C27+3)</f>
        <v/>
      </c>
      <c r="F27" s="28">
        <f>IF($C27="","",$C27+7)</f>
        <v/>
      </c>
      <c r="G27" s="28">
        <f>IF($C27="","",$C27+14)</f>
        <v/>
      </c>
      <c r="H27" s="28">
        <f>IF($C27="","",$C27+30)</f>
        <v/>
      </c>
      <c r="I27" s="27" t="n">
        <v>0</v>
      </c>
      <c r="J27" s="28">
        <f>IF($C27="","",IF($I27&gt;=5,"",CHOOSE($I27+1,$D27,$E27,$F27,$G27,$H27)))</f>
        <v/>
      </c>
      <c r="K27" s="33">
        <f>IF($C27="","",IF($I27&gt;=5,"Цикл завершён",IF(TODAY()&gt;=$J27,"Повторить сегодня",IF(TODAY()&gt;=$J27-1,"Скоро повтор","Понятно, ждём"))))</f>
        <v/>
      </c>
      <c r="L27" s="27" t="n"/>
    </row>
    <row r="28">
      <c r="A28" s="24" t="inlineStr">
        <is>
          <t>Разделы 10-K: Item 1, 1A, 7, 8</t>
        </is>
      </c>
      <c r="B28" s="24" t="n">
        <v>8</v>
      </c>
      <c r="C28" s="26" t="n"/>
      <c r="D28" s="28">
        <f>IF($C28="","",$C28+1)</f>
        <v/>
      </c>
      <c r="E28" s="28">
        <f>IF($C28="","",$C28+3)</f>
        <v/>
      </c>
      <c r="F28" s="28">
        <f>IF($C28="","",$C28+7)</f>
        <v/>
      </c>
      <c r="G28" s="28">
        <f>IF($C28="","",$C28+14)</f>
        <v/>
      </c>
      <c r="H28" s="28">
        <f>IF($C28="","",$C28+30)</f>
        <v/>
      </c>
      <c r="I28" s="27" t="n">
        <v>0</v>
      </c>
      <c r="J28" s="28">
        <f>IF($C28="","",IF($I28&gt;=5,"",CHOOSE($I28+1,$D28,$E28,$F28,$G28,$H28)))</f>
        <v/>
      </c>
      <c r="K28" s="33">
        <f>IF($C28="","",IF($I28&gt;=5,"Цикл завершён",IF(TODAY()&gt;=$J28,"Повторить сегодня",IF(TODAY()&gt;=$J28-1,"Скоро повтор","Понятно, ждём"))))</f>
        <v/>
      </c>
      <c r="L28" s="27" t="n"/>
    </row>
    <row r="29">
      <c r="A29" s="24" t="inlineStr">
        <is>
          <t>Карта рисков: вероятность, влияние, индикатор</t>
        </is>
      </c>
      <c r="B29" s="24" t="n">
        <v>9</v>
      </c>
      <c r="C29" s="26" t="n"/>
      <c r="D29" s="28">
        <f>IF($C29="","",$C29+1)</f>
        <v/>
      </c>
      <c r="E29" s="28">
        <f>IF($C29="","",$C29+3)</f>
        <v/>
      </c>
      <c r="F29" s="28">
        <f>IF($C29="","",$C29+7)</f>
        <v/>
      </c>
      <c r="G29" s="28">
        <f>IF($C29="","",$C29+14)</f>
        <v/>
      </c>
      <c r="H29" s="28">
        <f>IF($C29="","",$C29+30)</f>
        <v/>
      </c>
      <c r="I29" s="27" t="n">
        <v>0</v>
      </c>
      <c r="J29" s="28">
        <f>IF($C29="","",IF($I29&gt;=5,"",CHOOSE($I29+1,$D29,$E29,$F29,$G29,$H29)))</f>
        <v/>
      </c>
      <c r="K29" s="33">
        <f>IF($C29="","",IF($I29&gt;=5,"Цикл завершён",IF(TODAY()&gt;=$J29,"Повторить сегодня",IF(TODAY()&gt;=$J29-1,"Скоро повтор","Понятно, ждём"))))</f>
        <v/>
      </c>
      <c r="L29" s="27" t="n"/>
    </row>
    <row r="30">
      <c r="A30" s="24" t="inlineStr">
        <is>
          <t>Условия опровержения тезиса</t>
        </is>
      </c>
      <c r="B30" s="24" t="n">
        <v>9</v>
      </c>
      <c r="C30" s="26" t="n"/>
      <c r="D30" s="28">
        <f>IF($C30="","",$C30+1)</f>
        <v/>
      </c>
      <c r="E30" s="28">
        <f>IF($C30="","",$C30+3)</f>
        <v/>
      </c>
      <c r="F30" s="28">
        <f>IF($C30="","",$C30+7)</f>
        <v/>
      </c>
      <c r="G30" s="28">
        <f>IF($C30="","",$C30+14)</f>
        <v/>
      </c>
      <c r="H30" s="28">
        <f>IF($C30="","",$C30+30)</f>
        <v/>
      </c>
      <c r="I30" s="27" t="n">
        <v>0</v>
      </c>
      <c r="J30" s="28">
        <f>IF($C30="","",IF($I30&gt;=5,"",CHOOSE($I30+1,$D30,$E30,$F30,$G30,$H30)))</f>
        <v/>
      </c>
      <c r="K30" s="33">
        <f>IF($C30="","",IF($I30&gt;=5,"Цикл завершён",IF(TODAY()&gt;=$J30,"Повторить сегодня",IF(TODAY()&gt;=$J30-1,"Скоро повтор","Понятно, ждём"))))</f>
        <v/>
      </c>
      <c r="L30" s="27" t="n"/>
    </row>
    <row r="31">
      <c r="A31" s="24" t="inlineStr">
        <is>
          <t>Асимметрия восстановления после просадки</t>
        </is>
      </c>
      <c r="B31" s="24" t="n">
        <v>10</v>
      </c>
      <c r="C31" s="26" t="n"/>
      <c r="D31" s="28">
        <f>IF($C31="","",$C31+1)</f>
        <v/>
      </c>
      <c r="E31" s="28">
        <f>IF($C31="","",$C31+3)</f>
        <v/>
      </c>
      <c r="F31" s="28">
        <f>IF($C31="","",$C31+7)</f>
        <v/>
      </c>
      <c r="G31" s="28">
        <f>IF($C31="","",$C31+14)</f>
        <v/>
      </c>
      <c r="H31" s="28">
        <f>IF($C31="","",$C31+30)</f>
        <v/>
      </c>
      <c r="I31" s="27" t="n">
        <v>0</v>
      </c>
      <c r="J31" s="28">
        <f>IF($C31="","",IF($I31&gt;=5,"",CHOOSE($I31+1,$D31,$E31,$F31,$G31,$H31)))</f>
        <v/>
      </c>
      <c r="K31" s="33">
        <f>IF($C31="","",IF($I31&gt;=5,"Цикл завершён",IF(TODAY()&gt;=$J31,"Повторить сегодня",IF(TODAY()&gt;=$J31-1,"Скоро повтор","Понятно, ждём"))))</f>
        <v/>
      </c>
      <c r="L31" s="27" t="n"/>
    </row>
    <row r="32">
      <c r="A32" s="24" t="inlineStr">
        <is>
          <t>Поведенческие ошибки и противоядия</t>
        </is>
      </c>
      <c r="B32" s="24" t="n">
        <v>10</v>
      </c>
      <c r="C32" s="26" t="n"/>
      <c r="D32" s="28">
        <f>IF($C32="","",$C32+1)</f>
        <v/>
      </c>
      <c r="E32" s="28">
        <f>IF($C32="","",$C32+3)</f>
        <v/>
      </c>
      <c r="F32" s="28">
        <f>IF($C32="","",$C32+7)</f>
        <v/>
      </c>
      <c r="G32" s="28">
        <f>IF($C32="","",$C32+14)</f>
        <v/>
      </c>
      <c r="H32" s="28">
        <f>IF($C32="","",$C32+30)</f>
        <v/>
      </c>
      <c r="I32" s="27" t="n">
        <v>0</v>
      </c>
      <c r="J32" s="28">
        <f>IF($C32="","",IF($I32&gt;=5,"",CHOOSE($I32+1,$D32,$E32,$F32,$G32,$H32)))</f>
        <v/>
      </c>
      <c r="K32" s="33">
        <f>IF($C32="","",IF($I32&gt;=5,"Цикл завершён",IF(TODAY()&gt;=$J32,"Повторить сегодня",IF(TODAY()&gt;=$J32-1,"Скоро повтор","Понятно, ждём"))))</f>
        <v/>
      </c>
      <c r="L32" s="27" t="n"/>
    </row>
    <row r="33">
      <c r="A33" s="24" t="inlineStr">
        <is>
          <t>Ограничения технических индикаторов</t>
        </is>
      </c>
      <c r="B33" s="24" t="n">
        <v>11</v>
      </c>
      <c r="C33" s="26" t="n"/>
      <c r="D33" s="28">
        <f>IF($C33="","",$C33+1)</f>
        <v/>
      </c>
      <c r="E33" s="28">
        <f>IF($C33="","",$C33+3)</f>
        <v/>
      </c>
      <c r="F33" s="28">
        <f>IF($C33="","",$C33+7)</f>
        <v/>
      </c>
      <c r="G33" s="28">
        <f>IF($C33="","",$C33+14)</f>
        <v/>
      </c>
      <c r="H33" s="28">
        <f>IF($C33="","",$C33+30)</f>
        <v/>
      </c>
      <c r="I33" s="27" t="n">
        <v>0</v>
      </c>
      <c r="J33" s="28">
        <f>IF($C33="","",IF($I33&gt;=5,"",CHOOSE($I33+1,$D33,$E33,$F33,$G33,$H33)))</f>
        <v/>
      </c>
      <c r="K33" s="33">
        <f>IF($C33="","",IF($I33&gt;=5,"Цикл завершён",IF(TODAY()&gt;=$J33,"Повторить сегодня",IF(TODAY()&gt;=$J33-1,"Скоро повтор","Понятно, ждём"))))</f>
        <v/>
      </c>
      <c r="L33" s="27" t="n"/>
    </row>
  </sheetData>
  <autoFilter ref="A2:L2"/>
  <conditionalFormatting sqref="K3:K33">
    <cfRule type="cellIs" priority="1" operator="equal" dxfId="2">
      <formula>"Повторить сегодня"</formula>
    </cfRule>
    <cfRule type="cellIs" priority="2" operator="equal" dxfId="1">
      <formula>"Скоро повтор"</formula>
    </cfRule>
    <cfRule type="cellIs" priority="3" operator="equal" dxfId="0">
      <formula>"Цикл завершён"</formula>
    </cfRule>
  </conditionalFormatting>
  <dataValidations count="1">
    <dataValidation sqref="I3:I73" showDropDown="0" showInputMessage="0" showErrorMessage="0" allowBlank="1" type="list">
      <formula1>"0,1,2,3,4,5"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50" customWidth="1" min="3" max="3"/>
    <col width="14" customWidth="1" min="4" max="4"/>
    <col width="46" customWidth="1" min="5" max="5"/>
    <col width="18" customWidth="1" min="6" max="6"/>
    <col width="40" customWidth="1" min="7" max="7"/>
  </cols>
  <sheetData>
    <row r="1">
      <c r="A1" s="1" t="inlineStr">
        <is>
          <t>Sources / Источники данных</t>
        </is>
      </c>
      <c r="C1" s="2" t="inlineStr">
        <is>
          <t>Правило курса: в анализ число попадает только из первоисточника. Агрегаторы — для быстрого взгляда, отчётность — для выводов.</t>
        </is>
      </c>
    </row>
    <row r="2" ht="34" customHeight="1">
      <c r="A2" s="23" t="inlineStr">
        <is>
          <t>Название источника</t>
        </is>
      </c>
      <c r="B2" s="23" t="inlineStr">
        <is>
          <t>Тип источника</t>
        </is>
      </c>
      <c r="C2" s="23" t="inlineStr">
        <is>
          <t>Ссылка</t>
        </is>
      </c>
      <c r="D2" s="23" t="inlineStr">
        <is>
          <t>Дата проверки</t>
        </is>
      </c>
      <c r="E2" s="23" t="inlineStr">
        <is>
          <t>Какие данные можно получать</t>
        </is>
      </c>
      <c r="F2" s="23" t="inlineStr">
        <is>
          <t>Уровень надёжности</t>
        </is>
      </c>
      <c r="G2" s="23" t="inlineStr">
        <is>
          <t>Комментарий</t>
        </is>
      </c>
    </row>
    <row r="3">
      <c r="A3" s="24" t="inlineStr">
        <is>
          <t>SEC EDGAR (полнотекстовый поиск)</t>
        </is>
      </c>
      <c r="B3" s="24" t="inlineStr">
        <is>
          <t>Официальный регулятор США</t>
        </is>
      </c>
      <c r="C3" s="25" t="inlineStr">
        <is>
          <t>https://www.sec.gov/edgar/search/</t>
        </is>
      </c>
      <c r="D3" s="24" t="inlineStr">
        <is>
          <t>31.08.2026</t>
        </is>
      </c>
      <c r="E3" s="24" t="inlineStr">
        <is>
          <t>10-K, 10-Q, 8-K, DEF 14A — первоисточник по компаниям США</t>
        </is>
      </c>
      <c r="F3" s="24" t="inlineStr">
        <is>
          <t>Высшая</t>
        </is>
      </c>
      <c r="G3" s="24" t="inlineStr">
        <is>
          <t>Основной источник всех фактов по американским компаниям</t>
        </is>
      </c>
    </row>
    <row r="4">
      <c r="A4" s="24" t="inlineStr">
        <is>
          <t>SEC: How to Read a 10-K</t>
        </is>
      </c>
      <c r="B4" s="24" t="inlineStr">
        <is>
          <t>Официальное руководство</t>
        </is>
      </c>
      <c r="C4" s="25" t="inlineStr">
        <is>
          <t>https://www.sec.gov/files/reada10k.pdf</t>
        </is>
      </c>
      <c r="D4" s="24" t="inlineStr">
        <is>
          <t>31.08.2026</t>
        </is>
      </c>
      <c r="E4" s="24" t="inlineStr">
        <is>
          <t>Как устроен годовой отчёт и что читать в первую очередь</t>
        </is>
      </c>
      <c r="F4" s="24" t="inlineStr">
        <is>
          <t>Высшая</t>
        </is>
      </c>
      <c r="G4" s="24" t="inlineStr">
        <is>
          <t>Прочитать до первого самостоятельного разбора</t>
        </is>
      </c>
    </row>
    <row r="5">
      <c r="A5" s="24" t="inlineStr">
        <is>
          <t>Investor.gov (SEC)</t>
        </is>
      </c>
      <c r="B5" s="24" t="inlineStr">
        <is>
          <t>Образовательный портал регулятора</t>
        </is>
      </c>
      <c r="C5" s="25" t="inlineStr">
        <is>
          <t>https://www.investor.gov/</t>
        </is>
      </c>
      <c r="D5" s="24" t="inlineStr">
        <is>
          <t>31.08.2026</t>
        </is>
      </c>
      <c r="E5" s="24" t="inlineStr">
        <is>
          <t>Базовое образование, предупреждения о мошенничестве</t>
        </is>
      </c>
      <c r="F5" s="24" t="inlineStr">
        <is>
          <t>Высшая</t>
        </is>
      </c>
      <c r="G5" s="24" t="inlineStr">
        <is>
          <t>Хорош для проверки «слишком хороших» предложений</t>
        </is>
      </c>
    </row>
    <row r="6">
      <c r="A6" s="24" t="inlineStr">
        <is>
          <t>Раздел Investor Relations компании</t>
        </is>
      </c>
      <c r="B6" s="24" t="inlineStr">
        <is>
          <t>Первоисточник компании</t>
        </is>
      </c>
      <c r="C6" s="24" t="inlineStr">
        <is>
          <t>Сайт конкретной компании</t>
        </is>
      </c>
      <c r="D6" s="24" t="inlineStr">
        <is>
          <t>—</t>
        </is>
      </c>
      <c r="E6" s="24" t="inlineStr">
        <is>
          <t>Отчёты, пресс-релизы, презентации, транскрипты звонков</t>
        </is>
      </c>
      <c r="F6" s="24" t="inlineStr">
        <is>
          <t>Высокая</t>
        </is>
      </c>
      <c r="G6" s="24" t="inlineStr">
        <is>
          <t>Презентации — маркетинговый документ, проверять по 10-K</t>
        </is>
      </c>
    </row>
    <row r="7">
      <c r="A7" s="24" t="inlineStr">
        <is>
          <t>Московская биржа — обучение</t>
        </is>
      </c>
      <c r="B7" s="24" t="inlineStr">
        <is>
          <t>Официальная биржа</t>
        </is>
      </c>
      <c r="C7" s="25" t="inlineStr">
        <is>
          <t>https://www.moex.com/msn/learning</t>
        </is>
      </c>
      <c r="D7" s="24" t="inlineStr">
        <is>
          <t>31.08.2026</t>
        </is>
      </c>
      <c r="E7" s="24" t="inlineStr">
        <is>
          <t>Механика торгов, инструменты, российский рынок</t>
        </is>
      </c>
      <c r="F7" s="24" t="inlineStr">
        <is>
          <t>Высокая</t>
        </is>
      </c>
      <c r="G7" s="24" t="inlineStr">
        <is>
          <t>Русскоязычный официальный источник</t>
        </is>
      </c>
    </row>
    <row r="8">
      <c r="A8" s="24" t="inlineStr">
        <is>
          <t>Школа Московской биржи</t>
        </is>
      </c>
      <c r="B8" s="24" t="inlineStr">
        <is>
          <t>Официальная биржа</t>
        </is>
      </c>
      <c r="C8" s="25" t="inlineStr">
        <is>
          <t>https://school.moex.com/</t>
        </is>
      </c>
      <c r="D8" s="24" t="inlineStr">
        <is>
          <t>31.08.2026</t>
        </is>
      </c>
      <c r="E8" s="24" t="inlineStr">
        <is>
          <t>Курсы для начинающих и продвинутых</t>
        </is>
      </c>
      <c r="F8" s="24" t="inlineStr">
        <is>
          <t>Высокая</t>
        </is>
      </c>
      <c r="G8" s="24" t="inlineStr">
        <is>
          <t>Часть курсов платная</t>
        </is>
      </c>
    </row>
    <row r="9">
      <c r="A9" s="24" t="inlineStr">
        <is>
          <t>Финансовая культура (Банк России)</t>
        </is>
      </c>
      <c r="B9" s="24" t="inlineStr">
        <is>
          <t>Официальный регулятор РФ</t>
        </is>
      </c>
      <c r="C9" s="25" t="inlineStr">
        <is>
          <t>https://fincult.info/</t>
        </is>
      </c>
      <c r="D9" s="24" t="inlineStr">
        <is>
          <t>31.08.2026</t>
        </is>
      </c>
      <c r="E9" s="24" t="inlineStr">
        <is>
          <t>Финансовая грамотность, защита прав потребителей</t>
        </is>
      </c>
      <c r="F9" s="24" t="inlineStr">
        <is>
          <t>Высшая</t>
        </is>
      </c>
      <c r="G9" s="24" t="inlineStr">
        <is>
          <t>Русскоязычный, без продажи услуг</t>
        </is>
      </c>
    </row>
    <row r="10">
      <c r="A10" s="24" t="inlineStr">
        <is>
          <t>Damodaran Online (NYU Stern)</t>
        </is>
      </c>
      <c r="B10" s="24" t="inlineStr">
        <is>
          <t>Академический источник</t>
        </is>
      </c>
      <c r="C10" s="25" t="inlineStr">
        <is>
          <t>https://pages.stern.nyu.edu/~adamodar/</t>
        </is>
      </c>
      <c r="D10" s="24" t="inlineStr">
        <is>
          <t>31.08.2026</t>
        </is>
      </c>
      <c r="E10" s="24" t="inlineStr">
        <is>
          <t>Отраслевые беты, премии за риск, средние мультипликаторы, методики</t>
        </is>
      </c>
      <c r="F10" s="24" t="inlineStr">
        <is>
          <t>Высшая</t>
        </is>
      </c>
      <c r="G10" s="24" t="inlineStr">
        <is>
          <t>Эталон методологии оценки; данные обновляются ежегодно</t>
        </is>
      </c>
    </row>
    <row r="11">
      <c r="A11" s="24" t="inlineStr">
        <is>
          <t>MIT OpenCourseWare 15.401</t>
        </is>
      </c>
      <c r="B11" s="24" t="inlineStr">
        <is>
          <t>Университетский курс</t>
        </is>
      </c>
      <c r="C11" s="25" t="inlineStr">
        <is>
          <t>https://ocw.mit.edu/courses/15-401-finance-theory-i-fall-2008/</t>
        </is>
      </c>
      <c r="D11" s="24" t="inlineStr">
        <is>
          <t>31.08.2026</t>
        </is>
      </c>
      <c r="E11" s="24" t="inlineStr">
        <is>
          <t>Лекции, слайды и задачи по теории финансов</t>
        </is>
      </c>
      <c r="F11" s="24" t="inlineStr">
        <is>
          <t>Высшая</t>
        </is>
      </c>
      <c r="G11" s="24" t="inlineStr">
        <is>
          <t>Требует базовой математики</t>
        </is>
      </c>
    </row>
    <row r="12">
      <c r="A12" s="24" t="inlineStr">
        <is>
          <t>Investopedia</t>
        </is>
      </c>
      <c r="B12" s="24" t="inlineStr">
        <is>
          <t>Справочник</t>
        </is>
      </c>
      <c r="C12" s="25" t="inlineStr">
        <is>
          <t>https://www.investopedia.com/</t>
        </is>
      </c>
      <c r="D12" s="24" t="inlineStr">
        <is>
          <t>31.08.2026</t>
        </is>
      </c>
      <c r="E12" s="24" t="inlineStr">
        <is>
          <t>Определения терминов и базовые формулы</t>
        </is>
      </c>
      <c r="F12" s="24" t="inlineStr">
        <is>
          <t>Средняя-высокая</t>
        </is>
      </c>
      <c r="G12" s="24" t="inlineStr">
        <is>
          <t>Формулы сверять с учебником и отчётностью</t>
        </is>
      </c>
    </row>
    <row r="13">
      <c r="A13" s="24" t="inlineStr">
        <is>
          <t>Годовые отчёты конкурентов</t>
        </is>
      </c>
      <c r="B13" s="24" t="inlineStr">
        <is>
          <t>Первоисточник</t>
        </is>
      </c>
      <c r="C13" s="24" t="inlineStr">
        <is>
          <t>Сайты компаний</t>
        </is>
      </c>
      <c r="D13" s="24" t="inlineStr">
        <is>
          <t>—</t>
        </is>
      </c>
      <c r="E13" s="24" t="inlineStr">
        <is>
          <t>Отраслевой контекст, доли рынка, сопоставление маржи</t>
        </is>
      </c>
      <c r="F13" s="24" t="inlineStr">
        <is>
          <t>Высокая</t>
        </is>
      </c>
      <c r="G13" s="24" t="inlineStr">
        <is>
          <t>Лучший способ проверить заявления компании об отрасли</t>
        </is>
      </c>
    </row>
  </sheetData>
  <autoFilter ref="A2:G2"/>
  <dataValidations count="2">
    <dataValidation sqref="F3:F43" showDropDown="0" showInputMessage="0" showErrorMessage="0" allowBlank="1" type="list">
      <formula1>"Высшая,Высокая,Средняя,Низкая"</formula1>
    </dataValidation>
    <dataValidation sqref="B3:B43" showDropDown="0" showInputMessage="0" showErrorMessage="0" allowBlank="1" type="list">
      <formula1>"Официальный регулятор,Официальная биржа,Академический источник,Университетский курс,Первоисточник компании,Справочник,Профессиональный"</formula1>
    </dataValidation>
  </dataValidation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2026-08-31T20:04:04Z</dcterms:created>
  <dcterms:modified xsi:type="dcterms:W3CDTF">2026-08-31T20:04:05Z</dcterms:modified>
</cp:coreProperties>
</file>