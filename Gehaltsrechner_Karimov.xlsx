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Настройки" sheetId="2" state="visible" r:id="rId2"/>
    <sheet name="Feiertage" sheetId="3" state="visible" r:id="rId3"/>
    <sheet name="Dienstplan" sheetId="4" state="visible" r:id="rId4"/>
    <sheet name="Расчёт" sheetId="5" state="visible" r:id="rId5"/>
    <sheet name="Lohnsteuer" sheetId="6" state="visible" r:id="rId6"/>
    <sheet name="Контроль ArbZG" sheetId="7" state="visible" r:id="rId7"/>
    <sheet name="Права и риски" sheetId="8" state="visible" r:id="rId8"/>
    <sheet name="Мои данные" sheetId="9" state="visible" r:id="rId9"/>
    <sheet name="Год" sheetId="10" state="visible" r:id="rId10"/>
    <sheet name="Сверка с расчётко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.00\ &quot;€&quot;"/>
    <numFmt numFmtId="165" formatCode="#,##0.00\ &quot;h&quot;"/>
    <numFmt numFmtId="166" formatCode="0.0\ &quot;h&quot;"/>
    <numFmt numFmtId="167" formatCode="0\ &quot;h&quot;"/>
    <numFmt numFmtId="168" formatCode="0.00\ &quot;h&quot;"/>
    <numFmt numFmtId="169" formatCode="0.0000"/>
    <numFmt numFmtId="170" formatCode="0.00\ &quot;час&quot;"/>
    <numFmt numFmtId="171" formatCode="0.0"/>
    <numFmt numFmtId="172" formatCode="yyyy-mm-dd"/>
    <numFmt numFmtId="173" formatCode="DD.MM.YYYY"/>
    <numFmt numFmtId="174" formatCode="0\ &quot;x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06060"/>
      <sz val="9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7F3F00"/>
      <sz val="10"/>
    </font>
    <font>
      <name val="Calibri"/>
      <b val="1"/>
      <color rgb="00202020"/>
      <sz val="10"/>
    </font>
    <font>
      <name val="Calibri"/>
      <b val="1"/>
      <color rgb="001F3864"/>
      <sz val="11"/>
    </font>
    <font>
      <name val="Calibri"/>
      <b val="1"/>
      <color rgb="009C0006"/>
      <sz val="10"/>
    </font>
    <font>
      <name val="Calibri"/>
      <b val="1"/>
      <color rgb="00006100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DFF3DF"/>
      </patternFill>
    </fill>
    <fill>
      <patternFill patternType="solid">
        <fgColor rgb="00D6E4F7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1" fontId="6" fillId="4" borderId="1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1" fontId="7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center"/>
    </xf>
    <xf numFmtId="10" fontId="6" fillId="4" borderId="1" applyAlignment="1" pivotButton="0" quotePrefix="0" xfId="0">
      <alignment horizontal="center"/>
    </xf>
    <xf numFmtId="168" fontId="6" fillId="4" borderId="1" applyAlignment="1" pivotButton="0" quotePrefix="0" xfId="0">
      <alignment horizontal="center"/>
    </xf>
    <xf numFmtId="169" fontId="6" fillId="4" borderId="1" applyAlignment="1" pivotButton="0" quotePrefix="0" xfId="0">
      <alignment horizontal="center"/>
    </xf>
    <xf numFmtId="170" fontId="6" fillId="4" borderId="1" applyAlignment="1" pivotButton="0" quotePrefix="0" xfId="0">
      <alignment horizontal="center"/>
    </xf>
    <xf numFmtId="171" fontId="6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173" fontId="5" fillId="0" borderId="1" pivotButton="0" quotePrefix="0" xfId="0"/>
    <xf numFmtId="0" fontId="5" fillId="0" borderId="1" pivotButton="0" quotePrefix="0" xfId="0"/>
    <xf numFmtId="10" fontId="5" fillId="0" borderId="1" pivotButton="0" quotePrefix="0" xfId="0"/>
    <xf numFmtId="0" fontId="2" fillId="0" borderId="1" pivotButton="0" quotePrefix="0" xfId="0"/>
    <xf numFmtId="0" fontId="5" fillId="4" borderId="1" pivotButton="0" quotePrefix="0" xfId="0"/>
    <xf numFmtId="0" fontId="2" fillId="4" borderId="1" pivotButton="0" quotePrefix="0" xfId="0"/>
    <xf numFmtId="0" fontId="8" fillId="0" borderId="0" pivotButton="0" quotePrefix="0" xfId="0"/>
    <xf numFmtId="173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2" fontId="5" fillId="5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171" fontId="5" fillId="5" borderId="1" applyAlignment="1" pivotButton="0" quotePrefix="0" xfId="0">
      <alignment horizontal="center"/>
    </xf>
    <xf numFmtId="0" fontId="3" fillId="3" borderId="1" applyAlignment="1" pivotButton="0" quotePrefix="0" xfId="0">
      <alignment vertical="center" indent="1"/>
    </xf>
    <xf numFmtId="174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2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2" fontId="0" fillId="0" borderId="0" pivotButton="0" quotePrefix="0" xfId="0"/>
    <xf numFmtId="0" fontId="3" fillId="3" borderId="0" applyAlignment="1" pivotButton="0" quotePrefix="0" xfId="0">
      <alignment vertical="center" wrapText="1" indent="1"/>
    </xf>
    <xf numFmtId="0" fontId="4" fillId="0" borderId="0" applyAlignment="1" pivotButton="0" quotePrefix="0" xfId="0">
      <alignment vertical="center" wrapText="1" indent="1"/>
    </xf>
    <xf numFmtId="2" fontId="4" fillId="5" borderId="1" applyAlignment="1" pivotButton="0" quotePrefix="0" xfId="0">
      <alignment horizontal="center"/>
    </xf>
    <xf numFmtId="1" fontId="4" fillId="5" borderId="1" applyAlignment="1" pivotButton="0" quotePrefix="0" xfId="0">
      <alignment horizontal="center"/>
    </xf>
    <xf numFmtId="0" fontId="0" fillId="0" borderId="0" applyAlignment="1" pivotButton="0" quotePrefix="0" xfId="0">
      <alignment vertical="center" wrapText="1" indent="1"/>
    </xf>
    <xf numFmtId="2" fontId="9" fillId="8" borderId="1" applyAlignment="1" pivotButton="0" quotePrefix="0" xfId="0">
      <alignment horizontal="center"/>
    </xf>
    <xf numFmtId="164" fontId="9" fillId="8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10" fillId="0" borderId="0" applyAlignment="1" pivotButton="0" quotePrefix="0" xfId="0">
      <alignment vertical="center" wrapText="1" indent="1"/>
    </xf>
    <xf numFmtId="164" fontId="10" fillId="6" borderId="1" applyAlignment="1" pivotButton="0" quotePrefix="0" xfId="0">
      <alignment horizontal="center"/>
    </xf>
    <xf numFmtId="1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0" fillId="0" borderId="0" pivotButton="0" quotePrefix="0" xfId="0"/>
    <xf numFmtId="0" fontId="4" fillId="8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/>
    </xf>
    <xf numFmtId="0" fontId="8" fillId="7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0" borderId="1" pivotButton="0" quotePrefix="0" xfId="0"/>
    <xf numFmtId="164" fontId="5" fillId="4" borderId="1" applyAlignment="1" pivotButton="0" quotePrefix="0" xfId="0">
      <alignment horizontal="center"/>
    </xf>
    <xf numFmtId="0" fontId="3" fillId="3" borderId="1" pivotButton="0" quotePrefix="0" xfId="0"/>
    <xf numFmtId="2" fontId="8" fillId="7" borderId="1" applyAlignment="1" pivotButton="0" quotePrefix="0" xfId="0">
      <alignment horizontal="center"/>
    </xf>
    <xf numFmtId="164" fontId="8" fillId="7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9" fontId="5" fillId="5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pivotButton="0" quotePrefix="0" xfId="0"/>
    <xf numFmtId="164" fontId="8" fillId="6" borderId="1" applyAlignment="1" pivotButton="0" quotePrefix="0" xfId="0">
      <alignment horizontal="center"/>
    </xf>
    <xf numFmtId="168" fontId="5" fillId="5" borderId="1" applyAlignment="1" pivotButton="0" quotePrefix="0" xfId="0">
      <alignment horizontal="center"/>
    </xf>
    <xf numFmtId="168" fontId="8" fillId="7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Calibri"/>
        <b val="1"/>
        <color rgb="009C0006"/>
        <sz val="10"/>
      </font>
      <fill>
        <patternFill patternType="solid">
          <fgColor rgb="00FFD6D6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8" customWidth="1" min="3" max="3"/>
    <col width="30" customWidth="1" min="4" max="4"/>
    <col width="14" customWidth="1" min="5" max="5"/>
    <col width="14" customWidth="1" min="6" max="6"/>
  </cols>
  <sheetData>
    <row r="1" ht="26" customHeight="1">
      <c r="A1" s="1" t="inlineStr">
        <is>
          <t>РАСЧЁТ ЗАРПЛАТЫ · Alisher Karimov · Constantia Intensivpflege GmbH</t>
        </is>
      </c>
    </row>
    <row r="3">
      <c r="B3" s="2" t="inlineStr">
        <is>
          <t>Источники: Arbeitsvertrag от 01.08.2026 (§§ 1–19), EzB от 13.07.2026, ArbZG, EStG (§ 3b, § 32a, § 39b), SvEV, BUrlG, EFZG, PflegeArbbV</t>
        </is>
      </c>
    </row>
    <row r="5" ht="19" customHeight="1">
      <c r="A5" s="3" t="inlineStr">
        <is>
          <t>ЛИСТЫ ФАЙЛА</t>
        </is>
      </c>
    </row>
    <row r="6" ht="26" customHeight="1">
      <c r="B6" s="4" t="inlineStr">
        <is>
          <t>Настройки</t>
        </is>
      </c>
      <c r="C6" s="5" t="inlineStr">
        <is>
          <t>Все параметры: ставка, надбавки, время смен, лимит переработки, налоговый класс. Жёлтое — можно менять.</t>
        </is>
      </c>
    </row>
    <row r="7" ht="26" customHeight="1">
      <c r="B7" s="4" t="inlineStr">
        <is>
          <t>Dienstplan</t>
        </is>
      </c>
      <c r="C7" s="5" t="inlineStr">
        <is>
          <t>График месяца: ND / TD / FREI, статус (Arbeit / Urlaub / Krank), «x» = Eingesprungen. Сейчас заполнен СЕНТЯБРЬ 2026: 15 TD + 3 ND = 18 смен = 216 ч.</t>
        </is>
      </c>
    </row>
    <row r="8" ht="15" customHeight="1">
      <c r="B8" s="4" t="inlineStr">
        <is>
          <t>Расчёт</t>
        </is>
      </c>
      <c r="C8" s="5" t="inlineStr">
        <is>
          <t>Брутто, надбавки, счёт часов, соцвзносы, налоги, нетто.</t>
        </is>
      </c>
    </row>
    <row r="9" ht="15" customHeight="1">
      <c r="B9" s="4" t="inlineStr">
        <is>
          <t>Lohnsteuer</t>
        </is>
      </c>
      <c r="C9" s="5" t="inlineStr">
        <is>
          <t>Подоходный налог по методу официального Programmablaufplan.</t>
        </is>
      </c>
    </row>
    <row r="10" ht="15" customHeight="1">
      <c r="B10" s="4" t="inlineStr">
        <is>
          <t>Контроль ArbZG</t>
        </is>
      </c>
      <c r="C10" s="5" t="inlineStr">
        <is>
          <t>Проверка по закону о рабочем времени.</t>
        </is>
      </c>
    </row>
    <row r="11" ht="15" customHeight="1">
      <c r="B11" s="4" t="inlineStr">
        <is>
          <t>Права и риски</t>
        </is>
      </c>
      <c r="C11" s="5" t="inlineStr">
        <is>
          <t>Что в договоре есть, чего нет, и что из этого следует.</t>
        </is>
      </c>
    </row>
    <row r="12" ht="15" customHeight="1">
      <c r="B12" s="4" t="inlineStr">
        <is>
          <t>Feiertage</t>
        </is>
      </c>
      <c r="C12" s="5" t="inlineStr">
        <is>
          <t>Праздники Нижней Саксонии 2026/2027.</t>
        </is>
      </c>
    </row>
    <row r="13" ht="26" customHeight="1">
      <c r="B13" s="4" t="inlineStr">
        <is>
          <t>Мои данные</t>
        </is>
      </c>
      <c r="C13" s="5" t="inlineStr">
        <is>
          <t>Пустые поля для SV-Nummer, Steuer-ID и т.д. Заполни у себя — файл лежит в ПУБЛИЧНОМ репозитории GitHub.</t>
        </is>
      </c>
    </row>
    <row r="14" ht="15" customHeight="1">
      <c r="B14" s="4" t="inlineStr">
        <is>
          <t>Год</t>
        </is>
      </c>
      <c r="C14" s="5" t="inlineStr">
        <is>
          <t>Сводка по 12 месяцам и счёт переносимых часов.</t>
        </is>
      </c>
    </row>
    <row r="15" ht="26" customHeight="1">
      <c r="B15" s="4" t="inlineStr">
        <is>
          <t>Сверка с расчёткой</t>
        </is>
      </c>
      <c r="C15" s="5" t="inlineStr">
        <is>
          <t>Реальные Lohnabrechnung 07/2026 и 08/2026, разобранные построчно, и проверка каждой суммы. Август зафиксирован числами и не меняется при смене месяца.</t>
        </is>
      </c>
    </row>
    <row r="17" ht="19" customHeight="1">
      <c r="A17" s="3" t="inlineStr">
        <is>
          <t>ВАЖНО ПРО ФОРМАТ</t>
        </is>
      </c>
    </row>
    <row r="18" ht="26" customHeight="1">
      <c r="B18" s="4" t="inlineStr">
        <is>
          <t>Время смен — это ЧИСЛА</t>
        </is>
      </c>
      <c r="C18" s="5" t="inlineStr">
        <is>
          <t>20 = 20:00, 8 = 08:00, 6,5 = 06:30. Так сделано специально: Numbers на iPhone/Mac ломает формулы с настоящими значениями времени.</t>
        </is>
      </c>
    </row>
    <row r="19" ht="26" customHeight="1">
      <c r="B19" s="4" t="inlineStr">
        <is>
          <t>Numbers убирает подсветку</t>
        </is>
      </c>
      <c r="C19" s="5" t="inlineStr">
        <is>
          <t>Цветные предупреждения Numbers удаляет. Поэтому все предупреждения продублированы ТЕКСТОМ в последней колонке Dienstplan и на листе «Контроль ArbZG».</t>
        </is>
      </c>
    </row>
    <row r="20" ht="26" customHeight="1">
      <c r="B20" s="4" t="inlineStr">
        <is>
          <t>Если что-то показывает ошибку</t>
        </is>
      </c>
      <c r="C20" s="5" t="inlineStr">
        <is>
          <t>Открой в Excel, Google Sheets или LibreOffice — там работает всё. В Numbers формулы тоже работают, но подсветка и выпадающие списки пропадают.</t>
        </is>
      </c>
    </row>
    <row r="22" ht="19" customHeight="1">
      <c r="A22" s="3" t="inlineStr">
        <is>
          <t>ЧТО ГОВОРИТ ДОГОВОР (§ 3 Vergütung)</t>
        </is>
      </c>
    </row>
    <row r="23" ht="15" customHeight="1">
      <c r="B23" s="4" t="inlineStr">
        <is>
          <t>Часовая ставка</t>
        </is>
      </c>
      <c r="C23" s="5" t="inlineStr">
        <is>
          <t>27,00 € брутто (§ 3 Abs. 1)</t>
        </is>
      </c>
    </row>
    <row r="24" ht="15" customHeight="1">
      <c r="B24" s="4" t="inlineStr">
        <is>
          <t>Оклад в месяц</t>
        </is>
      </c>
      <c r="C24" s="5" t="inlineStr">
        <is>
          <t>4.676,40 € брутто → норма 4.676,40 / 27,00 = 173,20 ч/мес</t>
        </is>
      </c>
    </row>
    <row r="25" ht="15" customHeight="1">
      <c r="B25" s="4" t="inlineStr">
        <is>
          <t>Рабочее время</t>
        </is>
      </c>
      <c r="C25" s="5" t="inlineStr">
        <is>
          <t>40 ч в неделю, пятидневка, БЕЗ учёта перерывов (§ 2 Abs. 1)</t>
        </is>
      </c>
    </row>
    <row r="26" ht="15" customHeight="1">
      <c r="B26" s="4" t="inlineStr">
        <is>
          <t>Ночь 20:00–06:00</t>
        </is>
      </c>
      <c r="C26" s="5" t="inlineStr">
        <is>
          <t>+25 % (§ 3 Abs. 2 a)</t>
        </is>
      </c>
    </row>
    <row r="27" ht="15" customHeight="1">
      <c r="B27" s="4" t="inlineStr">
        <is>
          <t>Воскресенье 00:00–24:00</t>
        </is>
      </c>
      <c r="C27" s="5" t="inlineStr">
        <is>
          <t>+50 % (§ 3 Abs. 2 b)</t>
        </is>
      </c>
    </row>
    <row r="28" ht="15" customHeight="1">
      <c r="B28" s="4" t="inlineStr">
        <is>
          <t>Праздник с отгулом (mit FZA)</t>
        </is>
      </c>
      <c r="C28" s="5" t="inlineStr">
        <is>
          <t>+35 % (§ 3 Abs. 2 c)</t>
        </is>
      </c>
    </row>
    <row r="29" ht="15" customHeight="1">
      <c r="B29" s="4" t="inlineStr">
        <is>
          <t>Праздник без отгула (ohne FZA)</t>
        </is>
      </c>
      <c r="C29" s="5" t="inlineStr">
        <is>
          <t>+135 % (§ 3 Abs. 2 d)</t>
        </is>
      </c>
    </row>
    <row r="30" ht="15" customHeight="1">
      <c r="B30" s="4" t="inlineStr">
        <is>
          <t>Совпадение надбавок</t>
        </is>
      </c>
      <c r="C30" s="5" t="inlineStr">
        <is>
          <t>Платится ТОЛЬКО САМАЯ ВЫСОКАЯ. Ночь в воскресенье = 50 %, не 75 %.</t>
        </is>
      </c>
    </row>
    <row r="31" ht="26" customHeight="1">
      <c r="B31" s="4" t="inlineStr">
        <is>
          <t>Твои смены</t>
        </is>
      </c>
      <c r="C31" s="5" t="inlineStr">
        <is>
          <t>ND 20:00–08:00 = 12 ч, из них 10 ч ночных (20:00–06:00) и 2 ч обычных (06:00–08:00). TD 08:00–20:00 = 12 ч, ночных 0.</t>
        </is>
      </c>
    </row>
    <row r="32" ht="39" customHeight="1">
      <c r="B32" s="4" t="inlineStr">
        <is>
          <t>Переработка</t>
        </is>
      </c>
      <c r="C32" s="5" t="inlineStr">
        <is>
          <t>§ 2 Abs. 3: первые 8 ч/мес включены в оклад. Работодатель на практике оплачивает максимум 60 ч/мес, остальное переносит в следующий месяц отгулами — в договоре этого правила НЕТ, см. лист «Права и риски».</t>
        </is>
      </c>
    </row>
    <row r="33" ht="15" customHeight="1">
      <c r="B33" s="4" t="inlineStr">
        <is>
          <t>Выплата</t>
        </is>
      </c>
      <c r="C33" s="5" t="inlineStr">
        <is>
          <t>15-го числа следующего месяца (§ 3 Abs. 3)</t>
        </is>
      </c>
    </row>
    <row r="34" ht="15" customHeight="1">
      <c r="B34" s="4" t="inlineStr">
        <is>
          <t>Срок претензий</t>
        </is>
      </c>
      <c r="C34" s="5" t="inlineStr">
        <is>
          <t>3 месяца — § 14 Ausschlussfrist. Пропустил — право пропало.</t>
        </is>
      </c>
    </row>
    <row r="36" ht="19" customHeight="1">
      <c r="A36" s="3" t="inlineStr">
        <is>
          <t>НАЛОГИ И ВЗНОСЫ</t>
        </is>
      </c>
    </row>
    <row r="37" ht="26" customHeight="1">
      <c r="B37" s="4" t="inlineStr">
        <is>
          <t>§ 3b EStG</t>
        </is>
      </c>
      <c r="C37" s="5" t="inlineStr">
        <is>
          <t>Надбавки за ночь/воскресенье/праздник свободны от подоходного налога: ночь до 25 %, воскресенье до 50 %, праздник до 125 % (01.05, 25./26.12 и 24.12 с 14:00 — до 150 %). База — максимум 50 €/ч.</t>
        </is>
      </c>
    </row>
    <row r="38" ht="26" customHeight="1">
      <c r="B38" s="4" t="inlineStr">
        <is>
          <t>§ 1 Abs. 1 SvEV</t>
        </is>
      </c>
      <c r="C38" s="5" t="inlineStr">
        <is>
          <t>От соцвзносов надбавки свободны только с базы 25,00 €/ч. Ставка 27,00 € → часть надбавки, посчитанная с 2,00 €/ч, взносами облагается. Файл делит автоматически.</t>
        </is>
      </c>
    </row>
    <row r="39" ht="26" customHeight="1">
      <c r="B39" s="4" t="inlineStr">
        <is>
          <t>Отпуск и больничный</t>
        </is>
      </c>
      <c r="C39" s="5" t="inlineStr">
        <is>
          <t>Надбавки, выплаченные за дни отпуска/болезни, налогом ОБЛАГАЮТСЯ — § 3b требует фактической работы. Ставь статус Urlaub/Krank.</t>
        </is>
      </c>
    </row>
    <row r="40" ht="26" customHeight="1">
      <c r="B40" s="4" t="inlineStr">
        <is>
          <t>Налоговый класс 3, 1 ребёнок</t>
        </is>
      </c>
      <c r="C40" s="5" t="inlineStr">
        <is>
          <t>Считается по Splittingtarif. Ребёнок с 2025 г. → доплата бездетных в Pflegeversicherung (0,6 %) больше НЕ удерживается — проверь это в Lohnabrechnung.</t>
        </is>
      </c>
    </row>
    <row r="42" ht="19" customHeight="1">
      <c r="A42" s="3" t="inlineStr">
        <is>
          <t>ТОЧНОСТЬ</t>
        </is>
      </c>
    </row>
    <row r="43" ht="15" customHeight="1">
      <c r="B43" s="4" t="inlineStr">
        <is>
          <t>Часы, надбавки, брутто</t>
        </is>
      </c>
      <c r="C43" s="5" t="inlineStr">
        <is>
          <t>Точно — по формулам договора.</t>
        </is>
      </c>
    </row>
    <row r="44" ht="15" customHeight="1">
      <c r="B44" s="4" t="inlineStr">
        <is>
          <t>Соцвзносы</t>
        </is>
      </c>
      <c r="C44" s="5" t="inlineStr">
        <is>
          <t>Точно — ставки и предельные базы 2026.</t>
        </is>
      </c>
    </row>
    <row r="45" ht="15" customHeight="1">
      <c r="B45" s="4" t="inlineStr">
        <is>
          <t>Подоходный налог</t>
        </is>
      </c>
      <c r="C45" s="5" t="inlineStr">
        <is>
          <t>Оценка ±несколько евро. Классы 5 и 6 не поддерживаются.</t>
        </is>
      </c>
    </row>
    <row r="46" ht="15" customHeight="1">
      <c r="B46" s="4" t="inlineStr">
        <is>
          <t>Нетто</t>
        </is>
      </c>
      <c r="C46" s="5" t="inlineStr">
        <is>
          <t>Оценка. Официальный документ — Lohnabrechnung. Этот файл нужен, чтобы её проверить.</t>
        </is>
      </c>
    </row>
    <row r="48">
      <c r="B48" s="2" t="inlineStr">
        <is>
          <t>Файл — вспомогательный инструмент, не юридическая консультация. При споре: профсоюз ver.di или Fachanwalt für Arbeitsrecht.</t>
        </is>
      </c>
    </row>
  </sheetData>
  <mergeCells count="39">
    <mergeCell ref="C23:F23"/>
    <mergeCell ref="C39:F39"/>
    <mergeCell ref="C8:F8"/>
    <mergeCell ref="C7:F7"/>
    <mergeCell ref="C38:F38"/>
    <mergeCell ref="C32:F32"/>
    <mergeCell ref="C19:F19"/>
    <mergeCell ref="C37:F37"/>
    <mergeCell ref="C28:F28"/>
    <mergeCell ref="C13:F13"/>
    <mergeCell ref="C18:F18"/>
    <mergeCell ref="A42:F42"/>
    <mergeCell ref="A5:F5"/>
    <mergeCell ref="C34:F34"/>
    <mergeCell ref="C6:F6"/>
    <mergeCell ref="C30:F30"/>
    <mergeCell ref="A22:F22"/>
    <mergeCell ref="C15:F15"/>
    <mergeCell ref="A17:F17"/>
    <mergeCell ref="C33:F33"/>
    <mergeCell ref="C24:F24"/>
    <mergeCell ref="C14:F14"/>
    <mergeCell ref="C45:F45"/>
    <mergeCell ref="C20:F20"/>
    <mergeCell ref="C26:F26"/>
    <mergeCell ref="C29:F29"/>
    <mergeCell ref="C25:F25"/>
    <mergeCell ref="C10:F10"/>
    <mergeCell ref="C44:F44"/>
    <mergeCell ref="C40:F40"/>
    <mergeCell ref="C9:F9"/>
    <mergeCell ref="C31:F31"/>
    <mergeCell ref="A36:F36"/>
    <mergeCell ref="A1:F1"/>
    <mergeCell ref="C12:F12"/>
    <mergeCell ref="C43:F43"/>
    <mergeCell ref="C46:F46"/>
    <mergeCell ref="C11:F11"/>
    <mergeCell ref="C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36" customWidth="1" min="3" max="3"/>
    <col width="16" customWidth="1" min="4" max="4"/>
    <col width="66" customWidth="1" min="5" max="5"/>
  </cols>
  <sheetData>
    <row r="1" ht="26" customHeight="1">
      <c r="A1" s="1" t="inlineStr">
        <is>
          <t>НАСТРОЙКИ / EINSTELLUNGEN — жёлтые поля можно менять</t>
        </is>
      </c>
    </row>
    <row r="3" ht="19" customHeight="1">
      <c r="B3" s="3" t="inlineStr">
        <is>
          <t>1. РАСЧЁТНЫЙ МЕСЯЦ</t>
        </is>
      </c>
    </row>
    <row r="4">
      <c r="B4" s="4" t="inlineStr">
        <is>
          <t>Год</t>
        </is>
      </c>
      <c r="C4" s="6" t="inlineStr">
        <is>
          <t>Jahr</t>
        </is>
      </c>
      <c r="D4" s="7" t="n">
        <v>2026</v>
      </c>
      <c r="E4" s="8" t="inlineStr"/>
    </row>
    <row r="5">
      <c r="B5" s="4" t="inlineStr">
        <is>
          <t>Месяц (1–12)</t>
        </is>
      </c>
      <c r="C5" s="6" t="inlineStr">
        <is>
          <t>Monat</t>
        </is>
      </c>
      <c r="D5" s="7" t="n">
        <v>9</v>
      </c>
      <c r="E5" s="8" t="inlineStr"/>
    </row>
    <row r="6">
      <c r="B6" s="4" t="inlineStr">
        <is>
          <t>Дней в месяце</t>
        </is>
      </c>
      <c r="C6" s="6" t="inlineStr">
        <is>
          <t>Tage im Monat</t>
        </is>
      </c>
      <c r="D6" s="9">
        <f>DAY(EOMONTH(DATE(Настройки!$D$4,Настройки!$D$5,1),0))</f>
        <v/>
      </c>
      <c r="E6" s="8" t="inlineStr"/>
    </row>
    <row r="7">
      <c r="B7" s="4" t="inlineStr">
        <is>
          <t>Федеральная земля</t>
        </is>
      </c>
      <c r="C7" s="6" t="inlineStr">
        <is>
          <t>Bundesland</t>
        </is>
      </c>
      <c r="D7" s="10" t="inlineStr">
        <is>
          <t>Niedersachsen</t>
        </is>
      </c>
      <c r="E7" s="8" t="inlineStr">
        <is>
          <t>Праздники — с листа «Feiertage»</t>
        </is>
      </c>
    </row>
    <row r="9" ht="19" customHeight="1">
      <c r="B9" s="3" t="inlineStr">
        <is>
          <t>2. ОПЛАТА — § 3 Arbeitsvertrag</t>
        </is>
      </c>
    </row>
    <row r="10">
      <c r="B10" s="4" t="inlineStr">
        <is>
          <t>Часовая ставка</t>
        </is>
      </c>
      <c r="C10" s="6" t="inlineStr">
        <is>
          <t>Stundenlohn (Grundlohn)</t>
        </is>
      </c>
      <c r="D10" s="11" t="n">
        <v>27</v>
      </c>
      <c r="E10" s="8" t="inlineStr">
        <is>
          <t>§ 3 Abs. 1</t>
        </is>
      </c>
    </row>
    <row r="11">
      <c r="B11" s="4" t="inlineStr">
        <is>
          <t>Оклад брутто в месяц</t>
        </is>
      </c>
      <c r="C11" s="6" t="inlineStr">
        <is>
          <t>Monatsvergütung brutto</t>
        </is>
      </c>
      <c r="D11" s="11" t="n">
        <v>4676.4</v>
      </c>
      <c r="E11" s="8" t="inlineStr">
        <is>
          <t>§ 3 Abs. 1</t>
        </is>
      </c>
    </row>
    <row r="12">
      <c r="B12" s="4" t="inlineStr">
        <is>
          <t>Плановые часы в месяц</t>
        </is>
      </c>
      <c r="C12" s="6" t="inlineStr">
        <is>
          <t>Sollstunden / Monat</t>
        </is>
      </c>
      <c r="D12" s="12">
        <f>Настройки!$D$11/Настройки!$D$10</f>
        <v/>
      </c>
      <c r="E12" s="8" t="inlineStr">
        <is>
          <t>оклад / ставка = 173,20 ч</t>
        </is>
      </c>
    </row>
    <row r="13">
      <c r="B13" s="4" t="inlineStr">
        <is>
          <t>Часов в неделю</t>
        </is>
      </c>
      <c r="C13" s="6" t="inlineStr">
        <is>
          <t>Wochenarbeitszeit</t>
        </is>
      </c>
      <c r="D13" s="13" t="n">
        <v>40</v>
      </c>
      <c r="E13" s="8" t="inlineStr">
        <is>
          <t>§ 2 Abs. 1</t>
        </is>
      </c>
    </row>
    <row r="14">
      <c r="B14" s="4" t="inlineStr">
        <is>
          <t>Переработка включена в оклад (ч)</t>
        </is>
      </c>
      <c r="C14" s="6" t="inlineStr">
        <is>
          <t>pauschal abgegoltene Überstunden</t>
        </is>
      </c>
      <c r="D14" s="14" t="n">
        <v>0</v>
      </c>
      <c r="E14" s="8" t="inlineStr">
        <is>
          <t>§ 2 Abs. 3 договора разрешает не платить первые 8 ч/мес. Но в расчётке 08/2026 оплачены ВСЕ 216 ч — поэтому здесь 0. Поставь 8, если хочешь увидеть минимум по договору</t>
        </is>
      </c>
    </row>
    <row r="15">
      <c r="B15" s="4" t="inlineStr">
        <is>
          <t>Максимум оплачиваемой переработки (ч)</t>
        </is>
      </c>
      <c r="C15" s="6" t="inlineStr">
        <is>
          <t>max. auszahlbare Überstunden</t>
        </is>
      </c>
      <c r="D15" s="14" t="n">
        <v>60</v>
      </c>
      <c r="E15" s="8" t="inlineStr">
        <is>
          <t>Практика работодателя: не более 60 ч/мес. В ДОГОВОРЕ такого правила нет — см. лист «Права и риски»</t>
        </is>
      </c>
    </row>
    <row r="16">
      <c r="B16" s="4" t="inlineStr">
        <is>
          <t>Оплачивать переработку?</t>
        </is>
      </c>
      <c r="C16" s="6" t="inlineStr">
        <is>
          <t>Überstunden auszahlen (ja/nein)</t>
        </is>
      </c>
      <c r="D16" s="10" t="inlineStr">
        <is>
          <t>ja</t>
        </is>
      </c>
      <c r="E16" s="8" t="inlineStr">
        <is>
          <t>«nein» = всё идёт в счёт часов отгулами</t>
        </is>
      </c>
    </row>
    <row r="17">
      <c r="B17" s="4" t="inlineStr">
        <is>
          <t>Надбавка за переработку</t>
        </is>
      </c>
      <c r="C17" s="6" t="inlineStr">
        <is>
          <t>Überstundenzuschlag</t>
        </is>
      </c>
      <c r="D17" s="15" t="n">
        <v>0</v>
      </c>
      <c r="E17" s="8" t="inlineStr">
        <is>
          <t>Договором не предусмотрена</t>
        </is>
      </c>
    </row>
    <row r="18">
      <c r="B18" s="4" t="inlineStr">
        <is>
          <t>Перенос часов из прошлого месяца</t>
        </is>
      </c>
      <c r="C18" s="6" t="inlineStr">
        <is>
          <t>Übertrag aus Vormonat</t>
        </is>
      </c>
      <c r="D18" s="16" t="n">
        <v>0</v>
      </c>
      <c r="E18" s="8" t="inlineStr">
        <is>
          <t>Остаток счёта часов (Arbeitszeitkonto) на начало месяца</t>
        </is>
      </c>
    </row>
    <row r="19">
      <c r="B19" s="4" t="inlineStr">
        <is>
          <t>Премия за Eingesprungen (за смену)</t>
        </is>
      </c>
      <c r="C19" s="6" t="inlineStr">
        <is>
          <t>Einspringprämie je Dienst</t>
        </is>
      </c>
      <c r="D19" s="11" t="n">
        <v>0</v>
      </c>
      <c r="E19" s="8" t="inlineStr">
        <is>
          <t>В договоре НЕТ. Впиши сумму, о которой договорились. Требуй подтверждение по e-mail — см. «Права и риски»</t>
        </is>
      </c>
    </row>
    <row r="20">
      <c r="B20" s="4" t="inlineStr">
        <is>
          <t>Фактор неполного месяца</t>
        </is>
      </c>
      <c r="C20" s="6" t="inlineStr">
        <is>
          <t>Faktor (Ein-/Austritt)</t>
        </is>
      </c>
      <c r="D20" s="17" t="n">
        <v>1</v>
      </c>
      <c r="E20" s="8" t="inlineStr">
        <is>
          <t>1,00 = полный месяц</t>
        </is>
      </c>
    </row>
    <row r="22" ht="19" customHeight="1">
      <c r="B22" s="3" t="inlineStr">
        <is>
          <t>3. НАДБАВКИ — § 3 Abs. 2 Arbeitsvertrag</t>
        </is>
      </c>
    </row>
    <row r="23">
      <c r="B23" s="4" t="inlineStr">
        <is>
          <t>Ночная надбавка</t>
        </is>
      </c>
      <c r="C23" s="6" t="inlineStr">
        <is>
          <t>Nachtzuschlag</t>
        </is>
      </c>
      <c r="D23" s="15" t="n">
        <v>0.25</v>
      </c>
      <c r="E23" s="8" t="inlineStr">
        <is>
          <t>§ 3 Abs. 2 a)</t>
        </is>
      </c>
    </row>
    <row r="24">
      <c r="B24" s="4" t="inlineStr">
        <is>
          <t>Ночь: с (час)</t>
        </is>
      </c>
      <c r="C24" s="6" t="inlineStr">
        <is>
          <t>Nachtarbeit von</t>
        </is>
      </c>
      <c r="D24" s="7" t="n">
        <v>20</v>
      </c>
      <c r="E24" s="8" t="inlineStr">
        <is>
          <t>20 = 20:00. Подтверждено работодателем (Chris, WhatsApp 09/2026): «20:00 – 06:00 morgens Nacht»</t>
        </is>
      </c>
    </row>
    <row r="25">
      <c r="B25" s="4" t="inlineStr">
        <is>
          <t>Ночь: до (час)</t>
        </is>
      </c>
      <c r="C25" s="6" t="inlineStr">
        <is>
          <t>Nachtarbeit bis</t>
        </is>
      </c>
      <c r="D25" s="7" t="n">
        <v>6</v>
      </c>
      <c r="E25" s="8" t="inlineStr">
        <is>
          <t>6 = 06:00</t>
        </is>
      </c>
    </row>
    <row r="26">
      <c r="B26" s="4" t="inlineStr">
        <is>
          <t>Воскресная надбавка</t>
        </is>
      </c>
      <c r="C26" s="6" t="inlineStr">
        <is>
          <t>Sonntagszuschlag</t>
        </is>
      </c>
      <c r="D26" s="15" t="n">
        <v>0.5</v>
      </c>
      <c r="E26" s="8" t="inlineStr">
        <is>
          <t>§ 3 Abs. 2 b). Подтверждено (Chris): «Sonntags Zuschlag ab 00:00» и «Sonntag &gt; als Nacht, dann zählt Sonntag» — надбавки НЕ складываются</t>
        </is>
      </c>
    </row>
    <row r="27">
      <c r="B27" s="4" t="inlineStr">
        <is>
          <t>Праздник С отгулом</t>
        </is>
      </c>
      <c r="C27" s="6" t="inlineStr">
        <is>
          <t>Feiertag mit FZA</t>
        </is>
      </c>
      <c r="D27" s="15" t="n">
        <v>0.35</v>
      </c>
      <c r="E27" s="8" t="inlineStr">
        <is>
          <t>§ 3 Abs. 2 c)</t>
        </is>
      </c>
    </row>
    <row r="28">
      <c r="B28" s="4" t="inlineStr">
        <is>
          <t>Праздник БЕЗ отгула</t>
        </is>
      </c>
      <c r="C28" s="6" t="inlineStr">
        <is>
          <t>Feiertag ohne FZA</t>
        </is>
      </c>
      <c r="D28" s="15" t="n">
        <v>1.35</v>
      </c>
      <c r="E28" s="8" t="inlineStr">
        <is>
          <t>§ 3 Abs. 2 d)</t>
        </is>
      </c>
    </row>
    <row r="29">
      <c r="B29" s="4" t="inlineStr">
        <is>
          <t>Праздники по умолчанию</t>
        </is>
      </c>
      <c r="C29" s="6" t="inlineStr">
        <is>
          <t>Feiertagsmodus</t>
        </is>
      </c>
      <c r="D29" s="10" t="inlineStr">
        <is>
          <t>ohne FZA</t>
        </is>
      </c>
      <c r="E29" s="8" t="inlineStr">
        <is>
          <t>«mit FZA» / «ohne FZA»; в графике можно задать по дню (колонка FZA: j / n)</t>
        </is>
      </c>
    </row>
    <row r="31" ht="19" customHeight="1">
      <c r="B31" s="3" t="inlineStr">
        <is>
          <t>4. ЛЬГОТЫ ПО НАДБАВКАМ — § 3b EStG / § 1 SvEV</t>
        </is>
      </c>
    </row>
    <row r="32">
      <c r="B32" s="4" t="inlineStr">
        <is>
          <t>Макс. необлагаемая ночная</t>
        </is>
      </c>
      <c r="C32" s="6" t="inlineStr">
        <is>
          <t>Höchstsatz Nacht steuerfrei</t>
        </is>
      </c>
      <c r="D32" s="15" t="n">
        <v>0.25</v>
      </c>
      <c r="E32" s="8" t="inlineStr">
        <is>
          <t>§ 3b Abs. 1 Nr. 1 EStG</t>
        </is>
      </c>
    </row>
    <row r="33">
      <c r="B33" s="4" t="inlineStr">
        <is>
          <t>Макс. необлагаемая воскресная</t>
        </is>
      </c>
      <c r="C33" s="6" t="inlineStr">
        <is>
          <t>Höchstsatz Sonntag steuerfrei</t>
        </is>
      </c>
      <c r="D33" s="15" t="n">
        <v>0.5</v>
      </c>
      <c r="E33" s="8" t="inlineStr">
        <is>
          <t>§ 3b Abs. 1 Nr. 2 EStG</t>
        </is>
      </c>
    </row>
    <row r="34">
      <c r="B34" s="4" t="inlineStr">
        <is>
          <t>Макс. необлагаемая праздничная</t>
        </is>
      </c>
      <c r="C34" s="6" t="inlineStr">
        <is>
          <t>Höchstsatz Feiertag steuerfrei</t>
        </is>
      </c>
      <c r="D34" s="15" t="n">
        <v>1.25</v>
      </c>
      <c r="E34" s="8" t="inlineStr">
        <is>
          <t>§ 3b Abs. 1 Nr. 3 EStG; для 01.05 и 25./26.12 — 150 % (в колонке D листа «Feiertage»)</t>
        </is>
      </c>
    </row>
    <row r="35">
      <c r="B35" s="4" t="inlineStr">
        <is>
          <t>Предел базы: налог</t>
        </is>
      </c>
      <c r="C35" s="6" t="inlineStr">
        <is>
          <t>Grundlohngrenze steuerfrei</t>
        </is>
      </c>
      <c r="D35" s="11" t="n">
        <v>50</v>
      </c>
      <c r="E35" s="8" t="inlineStr">
        <is>
          <t>§ 3b Abs. 2 EStG</t>
        </is>
      </c>
    </row>
    <row r="36">
      <c r="B36" s="4" t="inlineStr">
        <is>
          <t>Предел базы: соцвзносы</t>
        </is>
      </c>
      <c r="C36" s="6" t="inlineStr">
        <is>
          <t>Grundlohngrenze SV-frei</t>
        </is>
      </c>
      <c r="D36" s="11" t="n">
        <v>25</v>
      </c>
      <c r="E36" s="8" t="inlineStr">
        <is>
          <t>§ 1 Abs. 1 Nr. 1 SvEV — твои 27 € выше, часть надбавок облагается взносами</t>
        </is>
      </c>
    </row>
    <row r="38" ht="19" customHeight="1">
      <c r="B38" s="3" t="inlineStr">
        <is>
          <t>5. ВРЕМЯ СМЕН — ЧИСЛА-ЧАСЫ (20 = 20:00, 8 = 08:00, 6,5 = 06:30)</t>
        </is>
      </c>
    </row>
    <row r="39">
      <c r="B39" s="4" t="inlineStr">
        <is>
          <t>TD (Tagdienst) начало</t>
        </is>
      </c>
      <c r="C39" s="6" t="inlineStr">
        <is>
          <t>TD Beginn</t>
        </is>
      </c>
      <c r="D39" s="18" t="n">
        <v>8</v>
      </c>
      <c r="E39" s="8" t="inlineStr">
        <is>
          <t>08:00</t>
        </is>
      </c>
    </row>
    <row r="40">
      <c r="B40" s="4" t="inlineStr">
        <is>
          <t>TD (Tagdienst) конец</t>
        </is>
      </c>
      <c r="C40" s="6" t="inlineStr">
        <is>
          <t>TD Ende</t>
        </is>
      </c>
      <c r="D40" s="18" t="n">
        <v>20</v>
      </c>
      <c r="E40" s="8" t="inlineStr">
        <is>
          <t>20:00 → 12 часов</t>
        </is>
      </c>
    </row>
    <row r="41">
      <c r="B41" s="4" t="inlineStr">
        <is>
          <t>TD перерыв (часы)</t>
        </is>
      </c>
      <c r="C41" s="6" t="inlineStr">
        <is>
          <t>TD Pause</t>
        </is>
      </c>
      <c r="D41" s="16" t="n">
        <v>0</v>
      </c>
      <c r="E41" s="8" t="inlineStr">
        <is>
          <t>§ 4 ArbZG при смене &gt;9 ч требует 45 мин. Впиши 0,75 если работодатель вычитает перерыв</t>
        </is>
      </c>
    </row>
    <row r="42">
      <c r="B42" s="4" t="inlineStr">
        <is>
          <t>ND (Nachtdienst) начало</t>
        </is>
      </c>
      <c r="C42" s="6" t="inlineStr">
        <is>
          <t>ND Beginn</t>
        </is>
      </c>
      <c r="D42" s="18" t="n">
        <v>20</v>
      </c>
      <c r="E42" s="8" t="inlineStr">
        <is>
          <t>20:00</t>
        </is>
      </c>
    </row>
    <row r="43">
      <c r="B43" s="4" t="inlineStr">
        <is>
          <t>ND (Nachtdienst) конец</t>
        </is>
      </c>
      <c r="C43" s="6" t="inlineStr">
        <is>
          <t>ND Ende</t>
        </is>
      </c>
      <c r="D43" s="18" t="n">
        <v>8</v>
      </c>
      <c r="E43" s="8" t="inlineStr">
        <is>
          <t>08:00 следующего дня → 12 часов, из них 10 ночных</t>
        </is>
      </c>
    </row>
    <row r="44">
      <c r="B44" s="4" t="inlineStr">
        <is>
          <t>ND перерыв (часы)</t>
        </is>
      </c>
      <c r="C44" s="6" t="inlineStr">
        <is>
          <t>ND Pause</t>
        </is>
      </c>
      <c r="D44" s="16" t="n">
        <v>0</v>
      </c>
      <c r="E44" s="8" t="inlineStr">
        <is>
          <t>§ 4 ArbZG при смене &gt;9 ч требует 45 мин</t>
        </is>
      </c>
    </row>
    <row r="46" ht="19" customHeight="1">
      <c r="B46" s="3" t="inlineStr">
        <is>
          <t>6. НАЛОГИ И СОЦВЗНОСЫ 2026</t>
        </is>
      </c>
    </row>
    <row r="47">
      <c r="B47" s="4" t="inlineStr">
        <is>
          <t>Налоговый класс</t>
        </is>
      </c>
      <c r="C47" s="6" t="inlineStr">
        <is>
          <t>Steuerklasse</t>
        </is>
      </c>
      <c r="D47" s="7" t="n">
        <v>3</v>
      </c>
      <c r="E47" s="8" t="inlineStr">
        <is>
          <t>Класс 3 → Splittingtarif. Классы 5 и 6 не поддерживаются</t>
        </is>
      </c>
    </row>
    <row r="48">
      <c r="B48" s="4" t="inlineStr">
        <is>
          <t>Церковный налог?</t>
        </is>
      </c>
      <c r="C48" s="6" t="inlineStr">
        <is>
          <t>Kirchensteuerpflicht (ja/nein)</t>
        </is>
      </c>
      <c r="D48" s="10" t="inlineStr">
        <is>
          <t>nein</t>
        </is>
      </c>
      <c r="E48" s="8" t="inlineStr"/>
    </row>
    <row r="49">
      <c r="B49" s="4" t="inlineStr">
        <is>
          <t>Ставка церковного налога</t>
        </is>
      </c>
      <c r="C49" s="6" t="inlineStr">
        <is>
          <t>Kirchensteuersatz</t>
        </is>
      </c>
      <c r="D49" s="15" t="n">
        <v>0.09</v>
      </c>
      <c r="E49" s="8" t="inlineStr">
        <is>
          <t>Нижняя Саксония 9 %</t>
        </is>
      </c>
    </row>
    <row r="50">
      <c r="B50" s="4" t="inlineStr">
        <is>
          <t>Детские вычеты (Zähler)</t>
        </is>
      </c>
      <c r="C50" s="6" t="inlineStr">
        <is>
          <t>Kinderfreibeträge</t>
        </is>
      </c>
      <c r="D50" s="19" t="n">
        <v>1</v>
      </c>
      <c r="E50" s="8" t="inlineStr">
        <is>
          <t>Класс 3 → 1,0 на ребёнка. Влияет только на Soli и церковный налог</t>
        </is>
      </c>
    </row>
    <row r="51">
      <c r="B51" s="4" t="inlineStr">
        <is>
          <t>Бездетный (доплата в PV)?</t>
        </is>
      </c>
      <c r="C51" s="6" t="inlineStr">
        <is>
          <t>kinderlos ab 23 (ja/nein)</t>
        </is>
      </c>
      <c r="D51" s="10" t="inlineStr">
        <is>
          <t>nein</t>
        </is>
      </c>
      <c r="E51" s="8" t="inlineStr">
        <is>
          <t>У тебя ребёнок 2025 г. → «nein». Доплата 0,6 % удерживаться НЕ должна — проверь в Lohnabrechnung</t>
        </is>
      </c>
    </row>
    <row r="52">
      <c r="B52" s="4" t="inlineStr">
        <is>
          <t>Взнос KV общий</t>
        </is>
      </c>
      <c r="C52" s="6" t="inlineStr">
        <is>
          <t>KV allgemeiner Beitragssatz</t>
        </is>
      </c>
      <c r="D52" s="15" t="n">
        <v>0.146</v>
      </c>
      <c r="E52" s="8" t="inlineStr">
        <is>
          <t>делится пополам</t>
        </is>
      </c>
    </row>
    <row r="53">
      <c r="B53" s="4" t="inlineStr">
        <is>
          <t>Доп. взнос кассы</t>
        </is>
      </c>
      <c r="C53" s="6" t="inlineStr">
        <is>
          <t>kassenindiv. Zusatzbeitrag</t>
        </is>
      </c>
      <c r="D53" s="15" t="n">
        <v>0.0299</v>
      </c>
      <c r="E53" s="8" t="inlineStr">
        <is>
          <t>AOK Baden-Württemberg 2026 = 2,99 % (проверено по Lohnabrechnung 08/2026: 511,21 € / 5.812,50 € = 8,795 % = (14,6 % + 2,99 %) / 2)</t>
        </is>
      </c>
    </row>
    <row r="54">
      <c r="B54" s="4" t="inlineStr">
        <is>
          <t>Взнос PV</t>
        </is>
      </c>
      <c r="C54" s="6" t="inlineStr">
        <is>
          <t>Pflegeversicherung</t>
        </is>
      </c>
      <c r="D54" s="15" t="n">
        <v>0.036</v>
      </c>
      <c r="E54" s="8" t="inlineStr">
        <is>
          <t>делится пополам</t>
        </is>
      </c>
    </row>
    <row r="55">
      <c r="B55" s="4" t="inlineStr">
        <is>
          <t>Доплата бездетным PV</t>
        </is>
      </c>
      <c r="C55" s="6" t="inlineStr">
        <is>
          <t>Zuschlag Kinderlose</t>
        </is>
      </c>
      <c r="D55" s="15" t="n">
        <v>0.006</v>
      </c>
      <c r="E55" s="8" t="inlineStr">
        <is>
          <t>применяется только если поле выше = «ja»</t>
        </is>
      </c>
    </row>
    <row r="56">
      <c r="B56" s="4" t="inlineStr">
        <is>
          <t>Взнос RV</t>
        </is>
      </c>
      <c r="C56" s="6" t="inlineStr">
        <is>
          <t>Rentenversicherung</t>
        </is>
      </c>
      <c r="D56" s="15" t="n">
        <v>0.186</v>
      </c>
      <c r="E56" s="8" t="inlineStr">
        <is>
          <t>→ 9,3 % с работника</t>
        </is>
      </c>
    </row>
    <row r="57">
      <c r="B57" s="4" t="inlineStr">
        <is>
          <t>Взнос AV</t>
        </is>
      </c>
      <c r="C57" s="6" t="inlineStr">
        <is>
          <t>Arbeitslosenversicherung</t>
        </is>
      </c>
      <c r="D57" s="15" t="n">
        <v>0.026</v>
      </c>
      <c r="E57" s="8" t="inlineStr">
        <is>
          <t>→ 1,3 % с работника</t>
        </is>
      </c>
    </row>
    <row r="58">
      <c r="B58" s="4" t="inlineStr">
        <is>
          <t>Предел базы KV/PV в месяц</t>
        </is>
      </c>
      <c r="C58" s="6" t="inlineStr">
        <is>
          <t>BBG KV/PV monatlich</t>
        </is>
      </c>
      <c r="D58" s="11" t="n">
        <v>5812.5</v>
      </c>
      <c r="E58" s="8" t="inlineStr">
        <is>
          <t>2026: 69.750 €/год</t>
        </is>
      </c>
    </row>
    <row r="59">
      <c r="B59" s="4" t="inlineStr">
        <is>
          <t>Предел базы RV/AV в месяц</t>
        </is>
      </c>
      <c r="C59" s="6" t="inlineStr">
        <is>
          <t>BBG RV/AV monatlich</t>
        </is>
      </c>
      <c r="D59" s="11" t="n">
        <v>8450</v>
      </c>
      <c r="E59" s="8" t="inlineStr">
        <is>
          <t>2026: 101.400 €/год</t>
        </is>
      </c>
    </row>
    <row r="61" ht="19" customHeight="1">
      <c r="B61" s="3" t="inlineStr">
        <is>
          <t>7. ПАРАМЕТРЫ ПОДОХОДНОГО НАЛОГА 2026</t>
        </is>
      </c>
    </row>
    <row r="62">
      <c r="B62" s="4" t="inlineStr">
        <is>
          <t>Вычет на работника</t>
        </is>
      </c>
      <c r="C62" s="6" t="inlineStr">
        <is>
          <t>Arbeitnehmer-Pauschbetrag</t>
        </is>
      </c>
      <c r="D62" s="11" t="n">
        <v>1230</v>
      </c>
      <c r="E62" s="8" t="inlineStr">
        <is>
          <t>§ 9a EStG, в год</t>
        </is>
      </c>
    </row>
    <row r="63">
      <c r="B63" s="4" t="inlineStr">
        <is>
          <t>Вычет особых расходов</t>
        </is>
      </c>
      <c r="C63" s="6" t="inlineStr">
        <is>
          <t>Sonderausgaben-Pauschbetrag</t>
        </is>
      </c>
      <c r="D63" s="11" t="n">
        <v>36</v>
      </c>
      <c r="E63" s="8" t="inlineStr">
        <is>
          <t>§ 10c EStG, в год</t>
        </is>
      </c>
    </row>
    <row r="64">
      <c r="B64" s="4" t="inlineStr">
        <is>
          <t>Вычет одинокому родителю</t>
        </is>
      </c>
      <c r="C64" s="6" t="inlineStr">
        <is>
          <t>Entlastungsbetrag Alleinerziehende</t>
        </is>
      </c>
      <c r="D64" s="11" t="n">
        <v>4260</v>
      </c>
      <c r="E64" s="8" t="inlineStr">
        <is>
          <t>только класс 2</t>
        </is>
      </c>
    </row>
    <row r="65">
      <c r="B65" s="4" t="inlineStr">
        <is>
          <t>Учитывать AV в Vorsorgepauschale?</t>
        </is>
      </c>
      <c r="C65" s="6" t="inlineStr">
        <is>
          <t>AV-Teilbetrag ansetzen (ja/nein)</t>
        </is>
      </c>
      <c r="D65" s="10" t="inlineStr">
        <is>
          <t>nein</t>
        </is>
      </c>
      <c r="E65" s="8" t="inlineStr">
        <is>
          <t>Новое с 2026 (§ 39b Abs. 2 S. 5 Nr. 3 Bst. e EStG), но только в пределах 1.900 € вместе с KV/PV — у тебя они уже выше</t>
        </is>
      </c>
    </row>
    <row r="66">
      <c r="B66" s="4" t="inlineStr">
        <is>
          <t>Порог Soli (налог за год)</t>
        </is>
      </c>
      <c r="C66" s="6" t="inlineStr">
        <is>
          <t>Soli-Freigrenze</t>
        </is>
      </c>
      <c r="D66" s="11" t="n">
        <v>20350</v>
      </c>
      <c r="E66" s="8" t="inlineStr">
        <is>
          <t>одинокий; для класса 3 порог удваивается — при твоём доходе Soli всё равно 0</t>
        </is>
      </c>
    </row>
    <row r="67">
      <c r="B67" s="4" t="inlineStr">
        <is>
          <t>Базовый вычет</t>
        </is>
      </c>
      <c r="C67" s="6" t="inlineStr">
        <is>
          <t>Grundfreibetrag 2026</t>
        </is>
      </c>
      <c r="D67" s="11" t="n">
        <v>12348</v>
      </c>
      <c r="E67" s="8" t="inlineStr">
        <is>
          <t>§ 32a EStG</t>
        </is>
      </c>
    </row>
    <row r="68">
      <c r="B68" s="4" t="inlineStr">
        <is>
          <t>Граница 1-й зоны</t>
        </is>
      </c>
      <c r="C68" s="6" t="inlineStr">
        <is>
          <t>Ende Zone 1</t>
        </is>
      </c>
      <c r="D68" s="11" t="n">
        <v>17799</v>
      </c>
      <c r="E68" s="8" t="inlineStr">
        <is>
          <t>§ 32a EStG 2026</t>
        </is>
      </c>
    </row>
    <row r="69">
      <c r="B69" s="4" t="inlineStr">
        <is>
          <t>Граница 2-й зоны</t>
        </is>
      </c>
      <c r="C69" s="6" t="inlineStr">
        <is>
          <t>Ende Zone 2</t>
        </is>
      </c>
      <c r="D69" s="11" t="n">
        <v>69878</v>
      </c>
      <c r="E69" s="8" t="inlineStr">
        <is>
          <t>§ 32a EStG 2026</t>
        </is>
      </c>
    </row>
    <row r="70">
      <c r="B70" s="4" t="inlineStr">
        <is>
          <t>Граница 3-й зоны</t>
        </is>
      </c>
      <c r="C70" s="6" t="inlineStr">
        <is>
          <t>Ende Zone 3</t>
        </is>
      </c>
      <c r="D70" s="11" t="n">
        <v>277825</v>
      </c>
      <c r="E70" s="8" t="inlineStr">
        <is>
          <t>§ 32a EStG 2026</t>
        </is>
      </c>
    </row>
  </sheetData>
  <mergeCells count="8">
    <mergeCell ref="B31:E31"/>
    <mergeCell ref="B61:E61"/>
    <mergeCell ref="B9:E9"/>
    <mergeCell ref="B38:E38"/>
    <mergeCell ref="A1:E1"/>
    <mergeCell ref="B3:E3"/>
    <mergeCell ref="B46:E46"/>
    <mergeCell ref="B22:E22"/>
  </mergeCells>
  <dataValidations count="2">
    <dataValidation sqref="D16 D48 D51 D65" showDropDown="0" showInputMessage="0" showErrorMessage="0" allowBlank="1" type="list">
      <formula1>"ja,nein"</formula1>
    </dataValidation>
    <dataValidation sqref="D29" showDropDown="0" showInputMessage="0" showErrorMessage="0" allowBlank="1" type="list">
      <formula1>"mit FZA,ohne FZA"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20" customWidth="1" min="4" max="4"/>
    <col width="50" customWidth="1" min="5" max="5"/>
  </cols>
  <sheetData>
    <row r="1" ht="26" customHeight="1">
      <c r="A1" s="1" t="inlineStr">
        <is>
          <t>ПРАЗДНИКИ / GESETZLICHE FEIERTAGE — Niedersachsen</t>
        </is>
      </c>
    </row>
    <row r="2">
      <c r="A2" s="2" t="inlineStr">
        <is>
          <t>Дописывать можно до строки 43. Колонка D — максимальная НЕОБЛАГАЕМАЯ надбавка по § 3b EStG.</t>
        </is>
      </c>
    </row>
    <row r="3">
      <c r="A3" s="20" t="inlineStr">
        <is>
          <t>Дата</t>
        </is>
      </c>
      <c r="B3" s="20" t="inlineStr">
        <is>
          <t>Название (Feiertag)</t>
        </is>
      </c>
      <c r="C3" s="20" t="inlineStr">
        <is>
          <t>Земля</t>
        </is>
      </c>
      <c r="D3" s="20" t="inlineStr">
        <is>
          <t>§3b Höchstsatz</t>
        </is>
      </c>
      <c r="E3" s="20" t="inlineStr">
        <is>
          <t>Примечание</t>
        </is>
      </c>
    </row>
    <row r="4">
      <c r="A4" s="21" t="n">
        <v>46023</v>
      </c>
      <c r="B4" s="22" t="inlineStr">
        <is>
          <t>Neujahr</t>
        </is>
      </c>
      <c r="C4" s="22" t="inlineStr">
        <is>
          <t>bundesweit</t>
        </is>
      </c>
      <c r="D4" s="23" t="n">
        <v>1.25</v>
      </c>
      <c r="E4" s="24" t="inlineStr"/>
    </row>
    <row r="5">
      <c r="A5" s="21" t="n">
        <v>46115</v>
      </c>
      <c r="B5" s="22" t="inlineStr">
        <is>
          <t>Karfreitag</t>
        </is>
      </c>
      <c r="C5" s="22" t="inlineStr">
        <is>
          <t>bundesweit</t>
        </is>
      </c>
      <c r="D5" s="23" t="n">
        <v>1.25</v>
      </c>
      <c r="E5" s="24" t="inlineStr"/>
    </row>
    <row r="6">
      <c r="A6" s="21" t="n">
        <v>46118</v>
      </c>
      <c r="B6" s="22" t="inlineStr">
        <is>
          <t>Ostermontag</t>
        </is>
      </c>
      <c r="C6" s="22" t="inlineStr">
        <is>
          <t>bundesweit</t>
        </is>
      </c>
      <c r="D6" s="23" t="n">
        <v>1.25</v>
      </c>
      <c r="E6" s="24" t="inlineStr"/>
    </row>
    <row r="7">
      <c r="A7" s="21" t="n">
        <v>46143</v>
      </c>
      <c r="B7" s="22" t="inlineStr">
        <is>
          <t>Tag der Arbeit</t>
        </is>
      </c>
      <c r="C7" s="22" t="inlineStr">
        <is>
          <t>bundesweit</t>
        </is>
      </c>
      <c r="D7" s="23" t="n">
        <v>1.5</v>
      </c>
      <c r="E7" s="24" t="inlineStr">
        <is>
          <t>§ 3b Abs. 3 Nr. 3 — до 150 %</t>
        </is>
      </c>
    </row>
    <row r="8">
      <c r="A8" s="21" t="n">
        <v>46156</v>
      </c>
      <c r="B8" s="22" t="inlineStr">
        <is>
          <t>Christi Himmelfahrt</t>
        </is>
      </c>
      <c r="C8" s="22" t="inlineStr">
        <is>
          <t>bundesweit</t>
        </is>
      </c>
      <c r="D8" s="23" t="n">
        <v>1.25</v>
      </c>
      <c r="E8" s="24" t="inlineStr"/>
    </row>
    <row r="9">
      <c r="A9" s="21" t="n">
        <v>46167</v>
      </c>
      <c r="B9" s="22" t="inlineStr">
        <is>
          <t>Pfingstmontag</t>
        </is>
      </c>
      <c r="C9" s="22" t="inlineStr">
        <is>
          <t>bundesweit</t>
        </is>
      </c>
      <c r="D9" s="23" t="n">
        <v>1.25</v>
      </c>
      <c r="E9" s="24" t="inlineStr"/>
    </row>
    <row r="10">
      <c r="A10" s="21" t="n">
        <v>46298</v>
      </c>
      <c r="B10" s="22" t="inlineStr">
        <is>
          <t>Tag der Deutschen Einheit</t>
        </is>
      </c>
      <c r="C10" s="22" t="inlineStr">
        <is>
          <t>bundesweit</t>
        </is>
      </c>
      <c r="D10" s="23" t="n">
        <v>1.25</v>
      </c>
      <c r="E10" s="24" t="inlineStr"/>
    </row>
    <row r="11">
      <c r="A11" s="21" t="n">
        <v>46326</v>
      </c>
      <c r="B11" s="22" t="inlineStr">
        <is>
          <t>Reformationstag</t>
        </is>
      </c>
      <c r="C11" s="22" t="inlineStr">
        <is>
          <t>Niedersachsen</t>
        </is>
      </c>
      <c r="D11" s="23" t="n">
        <v>1.25</v>
      </c>
      <c r="E11" s="24" t="inlineStr"/>
    </row>
    <row r="12">
      <c r="A12" s="21" t="n">
        <v>46381</v>
      </c>
      <c r="B12" s="22" t="inlineStr">
        <is>
          <t>1. Weihnachtstag</t>
        </is>
      </c>
      <c r="C12" s="22" t="inlineStr">
        <is>
          <t>bundesweit</t>
        </is>
      </c>
      <c r="D12" s="23" t="n">
        <v>1.5</v>
      </c>
      <c r="E12" s="24" t="inlineStr">
        <is>
          <t>§ 3b Abs. 3 Nr. 3 — до 150 %</t>
        </is>
      </c>
    </row>
    <row r="13">
      <c r="A13" s="21" t="n">
        <v>46382</v>
      </c>
      <c r="B13" s="22" t="inlineStr">
        <is>
          <t>2. Weihnachtstag</t>
        </is>
      </c>
      <c r="C13" s="22" t="inlineStr">
        <is>
          <t>bundesweit</t>
        </is>
      </c>
      <c r="D13" s="23" t="n">
        <v>1.5</v>
      </c>
      <c r="E13" s="24" t="inlineStr">
        <is>
          <t>§ 3b Abs. 3 Nr. 3 — до 150 %</t>
        </is>
      </c>
    </row>
    <row r="14">
      <c r="A14" s="21" t="n">
        <v>46388</v>
      </c>
      <c r="B14" s="22" t="inlineStr">
        <is>
          <t>Neujahr</t>
        </is>
      </c>
      <c r="C14" s="22" t="inlineStr">
        <is>
          <t>bundesweit</t>
        </is>
      </c>
      <c r="D14" s="23" t="n">
        <v>1.25</v>
      </c>
      <c r="E14" s="24" t="inlineStr"/>
    </row>
    <row r="15">
      <c r="A15" s="21" t="n">
        <v>46472</v>
      </c>
      <c r="B15" s="22" t="inlineStr">
        <is>
          <t>Karfreitag</t>
        </is>
      </c>
      <c r="C15" s="22" t="inlineStr">
        <is>
          <t>bundesweit</t>
        </is>
      </c>
      <c r="D15" s="23" t="n">
        <v>1.25</v>
      </c>
      <c r="E15" s="24" t="inlineStr"/>
    </row>
    <row r="16">
      <c r="A16" s="21" t="n">
        <v>46475</v>
      </c>
      <c r="B16" s="22" t="inlineStr">
        <is>
          <t>Ostermontag</t>
        </is>
      </c>
      <c r="C16" s="22" t="inlineStr">
        <is>
          <t>bundesweit</t>
        </is>
      </c>
      <c r="D16" s="23" t="n">
        <v>1.25</v>
      </c>
      <c r="E16" s="24" t="inlineStr"/>
    </row>
    <row r="17">
      <c r="A17" s="21" t="n">
        <v>46508</v>
      </c>
      <c r="B17" s="22" t="inlineStr">
        <is>
          <t>Tag der Arbeit</t>
        </is>
      </c>
      <c r="C17" s="22" t="inlineStr">
        <is>
          <t>bundesweit</t>
        </is>
      </c>
      <c r="D17" s="23" t="n">
        <v>1.5</v>
      </c>
      <c r="E17" s="24" t="inlineStr">
        <is>
          <t>суббота</t>
        </is>
      </c>
    </row>
    <row r="18">
      <c r="A18" s="21" t="n">
        <v>46513</v>
      </c>
      <c r="B18" s="22" t="inlineStr">
        <is>
          <t>Christi Himmelfahrt</t>
        </is>
      </c>
      <c r="C18" s="22" t="inlineStr">
        <is>
          <t>bundesweit</t>
        </is>
      </c>
      <c r="D18" s="23" t="n">
        <v>1.25</v>
      </c>
      <c r="E18" s="24" t="inlineStr"/>
    </row>
    <row r="19">
      <c r="A19" s="21" t="n">
        <v>46524</v>
      </c>
      <c r="B19" s="22" t="inlineStr">
        <is>
          <t>Pfingstmontag</t>
        </is>
      </c>
      <c r="C19" s="22" t="inlineStr">
        <is>
          <t>bundesweit</t>
        </is>
      </c>
      <c r="D19" s="23" t="n">
        <v>1.25</v>
      </c>
      <c r="E19" s="24" t="inlineStr"/>
    </row>
    <row r="20">
      <c r="A20" s="21" t="n">
        <v>46663</v>
      </c>
      <c r="B20" s="22" t="inlineStr">
        <is>
          <t>Tag der Deutschen Einheit</t>
        </is>
      </c>
      <c r="C20" s="22" t="inlineStr">
        <is>
          <t>bundesweit</t>
        </is>
      </c>
      <c r="D20" s="23" t="n">
        <v>1.25</v>
      </c>
      <c r="E20" s="24" t="inlineStr">
        <is>
          <t>воскресенье</t>
        </is>
      </c>
    </row>
    <row r="21">
      <c r="A21" s="21" t="n">
        <v>46691</v>
      </c>
      <c r="B21" s="22" t="inlineStr">
        <is>
          <t>Reformationstag</t>
        </is>
      </c>
      <c r="C21" s="22" t="inlineStr">
        <is>
          <t>Niedersachsen</t>
        </is>
      </c>
      <c r="D21" s="23" t="n">
        <v>1.25</v>
      </c>
      <c r="E21" s="24" t="inlineStr">
        <is>
          <t>воскресенье</t>
        </is>
      </c>
    </row>
    <row r="22">
      <c r="A22" s="21" t="n">
        <v>46746</v>
      </c>
      <c r="B22" s="22" t="inlineStr">
        <is>
          <t>1. Weihnachtstag</t>
        </is>
      </c>
      <c r="C22" s="22" t="inlineStr">
        <is>
          <t>bundesweit</t>
        </is>
      </c>
      <c r="D22" s="23" t="n">
        <v>1.5</v>
      </c>
      <c r="E22" s="24" t="inlineStr">
        <is>
          <t>суббота</t>
        </is>
      </c>
    </row>
    <row r="23">
      <c r="A23" s="21" t="n">
        <v>46747</v>
      </c>
      <c r="B23" s="22" t="inlineStr">
        <is>
          <t>2. Weihnachtstag</t>
        </is>
      </c>
      <c r="C23" s="22" t="inlineStr">
        <is>
          <t>bundesweit</t>
        </is>
      </c>
      <c r="D23" s="23" t="n">
        <v>1.5</v>
      </c>
      <c r="E23" s="24" t="inlineStr">
        <is>
          <t>воскресенье</t>
        </is>
      </c>
    </row>
    <row r="24">
      <c r="A24" s="25" t="n"/>
      <c r="B24" s="25" t="n"/>
      <c r="C24" s="25" t="n"/>
      <c r="D24" s="25" t="n"/>
      <c r="E24" s="26" t="n"/>
    </row>
    <row r="25">
      <c r="A25" s="25" t="n"/>
      <c r="B25" s="25" t="n"/>
      <c r="C25" s="25" t="n"/>
      <c r="D25" s="25" t="n"/>
      <c r="E25" s="26" t="n"/>
    </row>
    <row r="26">
      <c r="A26" s="25" t="n"/>
      <c r="B26" s="25" t="n"/>
      <c r="C26" s="25" t="n"/>
      <c r="D26" s="25" t="n"/>
      <c r="E26" s="26" t="n"/>
    </row>
    <row r="27">
      <c r="A27" s="25" t="n"/>
      <c r="B27" s="25" t="n"/>
      <c r="C27" s="25" t="n"/>
      <c r="D27" s="25" t="n"/>
      <c r="E27" s="26" t="n"/>
    </row>
    <row r="28">
      <c r="A28" s="25" t="n"/>
      <c r="B28" s="25" t="n"/>
      <c r="C28" s="25" t="n"/>
      <c r="D28" s="25" t="n"/>
      <c r="E28" s="26" t="n"/>
    </row>
    <row r="29">
      <c r="A29" s="25" t="n"/>
      <c r="B29" s="25" t="n"/>
      <c r="C29" s="25" t="n"/>
      <c r="D29" s="25" t="n"/>
      <c r="E29" s="26" t="n"/>
    </row>
    <row r="30">
      <c r="A30" s="25" t="n"/>
      <c r="B30" s="25" t="n"/>
      <c r="C30" s="25" t="n"/>
      <c r="D30" s="25" t="n"/>
      <c r="E30" s="26" t="n"/>
    </row>
    <row r="31">
      <c r="A31" s="25" t="n"/>
      <c r="B31" s="25" t="n"/>
      <c r="C31" s="25" t="n"/>
      <c r="D31" s="25" t="n"/>
      <c r="E31" s="26" t="n"/>
    </row>
    <row r="32">
      <c r="A32" s="25" t="n"/>
      <c r="B32" s="25" t="n"/>
      <c r="C32" s="25" t="n"/>
      <c r="D32" s="25" t="n"/>
      <c r="E32" s="26" t="n"/>
    </row>
    <row r="33">
      <c r="A33" s="25" t="n"/>
      <c r="B33" s="25" t="n"/>
      <c r="C33" s="25" t="n"/>
      <c r="D33" s="25" t="n"/>
      <c r="E33" s="26" t="n"/>
    </row>
    <row r="34">
      <c r="A34" s="25" t="n"/>
      <c r="B34" s="25" t="n"/>
      <c r="C34" s="25" t="n"/>
      <c r="D34" s="25" t="n"/>
      <c r="E34" s="26" t="n"/>
    </row>
    <row r="35">
      <c r="A35" s="25" t="n"/>
      <c r="B35" s="25" t="n"/>
      <c r="C35" s="25" t="n"/>
      <c r="D35" s="25" t="n"/>
      <c r="E35" s="26" t="n"/>
    </row>
    <row r="36">
      <c r="A36" s="25" t="n"/>
      <c r="B36" s="25" t="n"/>
      <c r="C36" s="25" t="n"/>
      <c r="D36" s="25" t="n"/>
      <c r="E36" s="26" t="n"/>
    </row>
    <row r="37">
      <c r="A37" s="25" t="n"/>
      <c r="B37" s="25" t="n"/>
      <c r="C37" s="25" t="n"/>
      <c r="D37" s="25" t="n"/>
      <c r="E37" s="26" t="n"/>
    </row>
    <row r="38">
      <c r="A38" s="25" t="n"/>
      <c r="B38" s="25" t="n"/>
      <c r="C38" s="25" t="n"/>
      <c r="D38" s="25" t="n"/>
      <c r="E38" s="26" t="n"/>
    </row>
    <row r="39">
      <c r="A39" s="25" t="n"/>
      <c r="B39" s="25" t="n"/>
      <c r="C39" s="25" t="n"/>
      <c r="D39" s="25" t="n"/>
      <c r="E39" s="26" t="n"/>
    </row>
    <row r="40">
      <c r="A40" s="25" t="n"/>
      <c r="B40" s="25" t="n"/>
      <c r="C40" s="25" t="n"/>
      <c r="D40" s="25" t="n"/>
      <c r="E40" s="26" t="n"/>
    </row>
    <row r="41">
      <c r="A41" s="25" t="n"/>
      <c r="B41" s="25" t="n"/>
      <c r="C41" s="25" t="n"/>
      <c r="D41" s="25" t="n"/>
      <c r="E41" s="26" t="n"/>
    </row>
    <row r="42">
      <c r="A42" s="25" t="n"/>
      <c r="B42" s="25" t="n"/>
      <c r="C42" s="25" t="n"/>
      <c r="D42" s="25" t="n"/>
      <c r="E42" s="26" t="n"/>
    </row>
    <row r="43">
      <c r="A43" s="25" t="n"/>
      <c r="B43" s="25" t="n"/>
      <c r="C43" s="25" t="n"/>
      <c r="D43" s="25" t="n"/>
      <c r="E43" s="26" t="n"/>
    </row>
    <row r="46">
      <c r="A46" s="27" t="inlineStr">
        <is>
          <t>НЕ праздники, но льгота по § 3b EStG:</t>
        </is>
      </c>
    </row>
    <row r="47">
      <c r="A47" s="2" t="inlineStr">
        <is>
          <t>· 24.12 с 14:00 — до 150 % необлагаемо</t>
        </is>
      </c>
    </row>
    <row r="48">
      <c r="A48" s="2" t="inlineStr">
        <is>
          <t>· 31.12 с 14:00 — до 125 % необлагаемо</t>
        </is>
      </c>
    </row>
    <row r="49">
      <c r="A49" s="2" t="inlineStr">
        <is>
          <t>· ночь 00:00–04:00, если смена начата до полуночи — до 40 % необлагаемо (§ 3b Abs. 3 Nr. 1)</t>
        </is>
      </c>
    </row>
    <row r="50">
      <c r="A50" s="2" t="inlineStr">
        <is>
          <t>· договор Constantia платит за эти часы обычные ставки — льгота касается только налога, не суммы выплаты</t>
        </is>
      </c>
    </row>
  </sheetData>
  <mergeCells count="5">
    <mergeCell ref="A50:E50"/>
    <mergeCell ref="A48:E48"/>
    <mergeCell ref="A49:E49"/>
    <mergeCell ref="A47:E47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20" customWidth="1" min="3" max="3"/>
    <col width="11" customWidth="1" min="4" max="4"/>
    <col width="11" customWidth="1" min="5" max="5"/>
    <col width="6" customWidth="1" min="6" max="6"/>
    <col width="6" customWidth="1" min="7" max="7"/>
    <col width="8" customWidth="1" min="8" max="8"/>
    <col width="8" customWidth="1" min="9" max="9"/>
    <col width="7" customWidth="1" min="10" max="10"/>
    <col width="7" customWidth="1" min="11" max="11"/>
    <col width="8" customWidth="1" min="12" max="12"/>
    <col width="7" customWidth="1" min="13" max="13"/>
    <col width="7" customWidth="1" min="14" max="14"/>
    <col width="8" customWidth="1" min="15" max="15"/>
    <col width="8" customWidth="1" min="16" max="16"/>
    <col width="11" customWidth="1" min="17" max="17"/>
    <col width="11" customWidth="1" min="18" max="18"/>
    <col width="12" customWidth="1" min="19" max="19"/>
    <col width="11" customWidth="1" min="20" max="20"/>
    <col width="36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</cols>
  <sheetData>
    <row r="1" ht="26" customHeight="1">
      <c r="A1" s="1" t="inlineStr">
        <is>
          <t>ГРАФИК И РАСЧЁТ ЧАСОВ / DIENSTPLAN</t>
        </is>
      </c>
    </row>
    <row r="2">
      <c r="A2" s="2" t="inlineStr">
        <is>
          <t>ND = Nachtdienst 20:00–08:00 · TD = Tagdienst 08:00–20:00 · FREI = выходной · «x» = eingesprungen · статус: Arbeit / Urlaub / Krank / Fortbildung · FZA: j = праздник с отгулом, n = без отгула. Время — числа-часы (20 = 20:00). Смена относится к дню, в который НАЧАЛАСЬ.</t>
        </is>
      </c>
    </row>
    <row r="4" ht="34" customHeight="1">
      <c r="A4" s="20" t="inlineStr">
        <is>
          <t>Дата
Datum</t>
        </is>
      </c>
      <c r="B4" s="20" t="inlineStr">
        <is>
          <t>День</t>
        </is>
      </c>
      <c r="C4" s="20" t="inlineStr">
        <is>
          <t>Праздник
Feiertag</t>
        </is>
      </c>
      <c r="D4" s="20" t="inlineStr">
        <is>
          <t>Смена
ND/TD/FREI</t>
        </is>
      </c>
      <c r="E4" s="20" t="inlineStr">
        <is>
          <t>Статус
Status</t>
        </is>
      </c>
      <c r="F4" s="20" t="inlineStr">
        <is>
          <t>Sprn</t>
        </is>
      </c>
      <c r="G4" s="20" t="inlineStr">
        <is>
          <t>FZA</t>
        </is>
      </c>
      <c r="H4" s="20" t="inlineStr">
        <is>
          <t>Начало
час</t>
        </is>
      </c>
      <c r="I4" s="20" t="inlineStr">
        <is>
          <t>Конец
час</t>
        </is>
      </c>
      <c r="J4" s="20" t="inlineStr">
        <is>
          <t>Пауза
ч</t>
        </is>
      </c>
      <c r="K4" s="20" t="inlineStr">
        <is>
          <t>Длит.
ч</t>
        </is>
      </c>
      <c r="L4" s="20" t="inlineStr">
        <is>
          <t>Часы
оплач.</t>
        </is>
      </c>
      <c r="M4" s="20" t="inlineStr">
        <is>
          <t>Ночь
ч</t>
        </is>
      </c>
      <c r="N4" s="20" t="inlineStr">
        <is>
          <t>Воскр.
ч</t>
        </is>
      </c>
      <c r="O4" s="20" t="inlineStr">
        <is>
          <t>Праздн.
ч</t>
        </is>
      </c>
      <c r="P4" s="20" t="inlineStr">
        <is>
          <t>Обычн.
ч</t>
        </is>
      </c>
      <c r="Q4" s="20" t="inlineStr">
        <is>
          <t>Надбавка
€</t>
        </is>
      </c>
      <c r="R4" s="20" t="inlineStr">
        <is>
          <t>из них
без налога</t>
        </is>
      </c>
      <c r="S4" s="20" t="inlineStr">
        <is>
          <t>из них
без взносов</t>
        </is>
      </c>
      <c r="T4" s="20" t="inlineStr">
        <is>
          <t>Отдых
до смены ч</t>
        </is>
      </c>
      <c r="U4" s="20" t="inlineStr">
        <is>
          <t>Предупреждение (ArbZG)</t>
        </is>
      </c>
    </row>
    <row r="5">
      <c r="A5" s="28">
        <f>IF(1&gt;Настройки!$D$6,"",DATE(Настройки!$D$4,Настройки!$D$5,1))</f>
        <v/>
      </c>
      <c r="B5" s="29">
        <f>IF($A5="","",CHOOSE(WEEKDAY($A5,2),"Пн","Вт","Ср","Чт","Пт","Сб","Вс"))</f>
        <v/>
      </c>
      <c r="C5" s="29">
        <f>IF($A5="","",IFERROR(INDEX(Feiertage!$B$4:$B$43,MATCH($A5,Feiertage!$A$4:$A$43,0)),""))</f>
        <v/>
      </c>
      <c r="D5" s="30" t="inlineStr">
        <is>
          <t>TD</t>
        </is>
      </c>
      <c r="E5" s="30" t="inlineStr">
        <is>
          <t>Arbeit</t>
        </is>
      </c>
      <c r="F5" s="30" t="inlineStr"/>
      <c r="G5" s="30" t="inlineStr"/>
      <c r="H5" s="31">
        <f>IF($D5="ND",Настройки!$D$42,IF($D5="TD",Настройки!$D$39,""))</f>
        <v/>
      </c>
      <c r="I5" s="31">
        <f>IF($D5="ND",Настройки!$D$43,IF($D5="TD",Настройки!$D$40,""))</f>
        <v/>
      </c>
      <c r="J5" s="31">
        <f>IF($D5="ND",Настройки!$D$44,IF($D5="TD",Настройки!$D$41,""))</f>
        <v/>
      </c>
      <c r="K5" s="32">
        <f>IF($H5="","",$I5-$H5+IF($I5&lt;=$H5,24,0))</f>
        <v/>
      </c>
      <c r="L5" s="32">
        <f>IF($K5="","",MAX(0,$K5-$J5))</f>
        <v/>
      </c>
      <c r="M5" s="32">
        <f>($AF5+$AG5)*$Y5</f>
        <v/>
      </c>
      <c r="N5" s="32">
        <f>($Z5*$AH5+$AA5*$AI5)*$Y5</f>
        <v/>
      </c>
      <c r="O5" s="32">
        <f>($AB5*$AH5+$AC5*$AI5)*$Y5</f>
        <v/>
      </c>
      <c r="P5" s="32">
        <f>IF($L5="","",MAX(0,$L5-$O5-$AL5-$AM5))</f>
        <v/>
      </c>
      <c r="Q5" s="33">
        <f>ROUND(Настройки!$D$10*($AK5*$AN5+$AJ5*MAX($AN5,Настройки!$D$26)+$AL5*Настройки!$D$26+$AM5*Настройки!$D$23),2)</f>
        <v/>
      </c>
      <c r="R5" s="33">
        <f>IF($E5&lt;&gt;"Arbeit",0,ROUND(MIN(Настройки!$D$10,Настройки!$D$35)*($AK5*MIN($AN5,$AO5)+$AJ5*MIN(MAX($AN5,Настройки!$D$26),$AO5)+$AL5*MIN(Настройки!$D$26,Настройки!$D$33)+$AM5*MIN(Настройки!$D$23,Настройки!$D$32)),2))</f>
        <v/>
      </c>
      <c r="S5" s="33">
        <f>IF($E5&lt;&gt;"Arbeit",0,ROUND(MIN(Настройки!$D$10,Настройки!$D$36)*($AK5*MIN($AN5,$AO5)+$AJ5*MIN(MAX($AN5,Настройки!$D$26),$AO5)+$AL5*MIN(Настройки!$D$26,Настройки!$D$33)+$AM5*MIN(Настройки!$D$23,Настройки!$D$32)),2))</f>
        <v/>
      </c>
      <c r="T5" s="29" t="inlineStr"/>
      <c r="U5" s="34">
        <f>IF($L5="","",TRIM(IF($L5&gt;10,"смена &gt;10 ч (§ 3 / § 6 ArbZG)  ","")&amp;IF(AND($T5&lt;&gt;"",$T5&lt;11),"отдых &lt;11 ч (§ 5 ArbZG)  ","")&amp;IF(AND($L5&gt;9,$J5&lt;0.75),"перерыв &lt;45 мин (§ 4 ArbZG)  ","")&amp;IF(AND($L5&gt;6,$L5&lt;=9,$J5&lt;0.5),"перерыв &lt;30 мин (§ 4 ArbZG)","")))</f>
        <v/>
      </c>
      <c r="W5">
        <f>IF($H5="","",$H5)</f>
        <v/>
      </c>
      <c r="X5">
        <f>IF($H5="","",$I5+IF($I5&lt;=$H5,24,0))</f>
        <v/>
      </c>
      <c r="Y5">
        <f>IF(OR($K5="",$K5=0),0,$L5/$K5)</f>
        <v/>
      </c>
      <c r="Z5">
        <f>IF($A5="",0,IF(WEEKDAY($A5,2)=7,1,0))</f>
        <v/>
      </c>
      <c r="AA5">
        <f>IF($A5="",0,IF(WEEKDAY($A5+1,2)=7,1,0))</f>
        <v/>
      </c>
      <c r="AB5">
        <f>IF($A5="",0,MIN(1,COUNTIF(Feiertage!$A$4:$A$43,$A5)))</f>
        <v/>
      </c>
      <c r="AC5">
        <f>IF($A5="",0,MIN(1,COUNTIF(Feiertage!$A$4:$A$43,$A5+1)))</f>
        <v/>
      </c>
      <c r="AD5">
        <f>IFERROR(INDEX(Feiertage!$D$4:$D$43,MATCH($A5,Feiertage!$A$4:$A$43,0)),Настройки!$D$34)</f>
        <v/>
      </c>
      <c r="AE5">
        <f>IFERROR(INDEX(Feiertage!$D$4:$D$43,MATCH($A5+1,Feiertage!$A$4:$A$43,0)),Настройки!$D$34)</f>
        <v/>
      </c>
      <c r="AF5">
        <f>IF($W5="",0,MAX(0,MIN($X5,Настройки!$D$25)-MAX($W5,0))+MAX(0,MIN($X5,24)-MAX($W5,Настройки!$D$24)))</f>
        <v/>
      </c>
      <c r="AG5">
        <f>IF($W5="",0,MAX(0,MIN($X5,24+Настройки!$D$25)-MAX($W5,24)))</f>
        <v/>
      </c>
      <c r="AH5">
        <f>IF($W5="",0,MAX(0,MIN($X5,24)-MAX($W5,0)))</f>
        <v/>
      </c>
      <c r="AI5">
        <f>IF($W5="",0,MAX(0,MIN($X5,48)-MAX($W5,24)))</f>
        <v/>
      </c>
      <c r="AJ5">
        <f>($Z5*$AB5*$AH5+$AA5*$AC5*$AI5)*$Y5</f>
        <v/>
      </c>
      <c r="AK5">
        <f>$O5-$AJ5</f>
        <v/>
      </c>
      <c r="AL5">
        <f>$N5-$AJ5</f>
        <v/>
      </c>
      <c r="AM5">
        <f>$M5-(MAX($Z5,$AB5)*$AF5+MAX($AA5,$AC5)*$AG5)*$Y5</f>
        <v/>
      </c>
      <c r="AN5">
        <f>IF($G5="j",Настройки!$D$27,IF($G5="n",Настройки!$D$28,IF(Настройки!$D$29="mit FZA",Настройки!$D$27,Настройки!$D$28)))</f>
        <v/>
      </c>
      <c r="AO5">
        <f>IF($O5=0,Настройки!$D$34,($AB5*$AH5*$AD5+$AC5*$AI5*$AE5)*$Y5/$O5)</f>
        <v/>
      </c>
    </row>
    <row r="6">
      <c r="A6" s="28">
        <f>IF(2&gt;Настройки!$D$6,"",DATE(Настройки!$D$4,Настройки!$D$5,2))</f>
        <v/>
      </c>
      <c r="B6" s="29">
        <f>IF($A6="","",CHOOSE(WEEKDAY($A6,2),"Пн","Вт","Ср","Чт","Пт","Сб","Вс"))</f>
        <v/>
      </c>
      <c r="C6" s="29">
        <f>IF($A6="","",IFERROR(INDEX(Feiertage!$B$4:$B$43,MATCH($A6,Feiertage!$A$4:$A$43,0)),""))</f>
        <v/>
      </c>
      <c r="D6" s="30" t="inlineStr">
        <is>
          <t>TD</t>
        </is>
      </c>
      <c r="E6" s="30" t="inlineStr">
        <is>
          <t>Arbeit</t>
        </is>
      </c>
      <c r="F6" s="30" t="inlineStr"/>
      <c r="G6" s="30" t="inlineStr"/>
      <c r="H6" s="31">
        <f>IF($D6="ND",Настройки!$D$42,IF($D6="TD",Настройки!$D$39,""))</f>
        <v/>
      </c>
      <c r="I6" s="31">
        <f>IF($D6="ND",Настройки!$D$43,IF($D6="TD",Настройки!$D$40,""))</f>
        <v/>
      </c>
      <c r="J6" s="31">
        <f>IF($D6="ND",Настройки!$D$44,IF($D6="TD",Настройки!$D$41,""))</f>
        <v/>
      </c>
      <c r="K6" s="32">
        <f>IF($H6="","",$I6-$H6+IF($I6&lt;=$H6,24,0))</f>
        <v/>
      </c>
      <c r="L6" s="32">
        <f>IF($K6="","",MAX(0,$K6-$J6))</f>
        <v/>
      </c>
      <c r="M6" s="32">
        <f>($AF6+$AG6)*$Y6</f>
        <v/>
      </c>
      <c r="N6" s="32">
        <f>($Z6*$AH6+$AA6*$AI6)*$Y6</f>
        <v/>
      </c>
      <c r="O6" s="32">
        <f>($AB6*$AH6+$AC6*$AI6)*$Y6</f>
        <v/>
      </c>
      <c r="P6" s="32">
        <f>IF($L6="","",MAX(0,$L6-$O6-$AL6-$AM6))</f>
        <v/>
      </c>
      <c r="Q6" s="33">
        <f>ROUND(Настройки!$D$10*($AK6*$AN6+$AJ6*MAX($AN6,Настройки!$D$26)+$AL6*Настройки!$D$26+$AM6*Настройки!$D$23),2)</f>
        <v/>
      </c>
      <c r="R6" s="33">
        <f>IF($E6&lt;&gt;"Arbeit",0,ROUND(MIN(Настройки!$D$10,Настройки!$D$35)*($AK6*MIN($AN6,$AO6)+$AJ6*MIN(MAX($AN6,Настройки!$D$26),$AO6)+$AL6*MIN(Настройки!$D$26,Настройки!$D$33)+$AM6*MIN(Настройки!$D$23,Настройки!$D$32)),2))</f>
        <v/>
      </c>
      <c r="S6" s="33">
        <f>IF($E6&lt;&gt;"Arbeit",0,ROUND(MIN(Настройки!$D$10,Настройки!$D$36)*($AK6*MIN($AN6,$AO6)+$AJ6*MIN(MAX($AN6,Настройки!$D$26),$AO6)+$AL6*MIN(Настройки!$D$26,Настройки!$D$33)+$AM6*MIN(Настройки!$D$23,Настройки!$D$32)),2))</f>
        <v/>
      </c>
      <c r="T6" s="35">
        <f>IF(OR($W6="",$W5=""),"",24+$W6-$X5)</f>
        <v/>
      </c>
      <c r="U6" s="34">
        <f>IF($L6="","",TRIM(IF($L6&gt;10,"смена &gt;10 ч (§ 3 / § 6 ArbZG)  ","")&amp;IF(AND($T6&lt;&gt;"",$T6&lt;11),"отдых &lt;11 ч (§ 5 ArbZG)  ","")&amp;IF(AND($L6&gt;9,$J6&lt;0.75),"перерыв &lt;45 мин (§ 4 ArbZG)  ","")&amp;IF(AND($L6&gt;6,$L6&lt;=9,$J6&lt;0.5),"перерыв &lt;30 мин (§ 4 ArbZG)","")))</f>
        <v/>
      </c>
      <c r="W6">
        <f>IF($H6="","",$H6)</f>
        <v/>
      </c>
      <c r="X6">
        <f>IF($H6="","",$I6+IF($I6&lt;=$H6,24,0))</f>
        <v/>
      </c>
      <c r="Y6">
        <f>IF(OR($K6="",$K6=0),0,$L6/$K6)</f>
        <v/>
      </c>
      <c r="Z6">
        <f>IF($A6="",0,IF(WEEKDAY($A6,2)=7,1,0))</f>
        <v/>
      </c>
      <c r="AA6">
        <f>IF($A6="",0,IF(WEEKDAY($A6+1,2)=7,1,0))</f>
        <v/>
      </c>
      <c r="AB6">
        <f>IF($A6="",0,MIN(1,COUNTIF(Feiertage!$A$4:$A$43,$A6)))</f>
        <v/>
      </c>
      <c r="AC6">
        <f>IF($A6="",0,MIN(1,COUNTIF(Feiertage!$A$4:$A$43,$A6+1)))</f>
        <v/>
      </c>
      <c r="AD6">
        <f>IFERROR(INDEX(Feiertage!$D$4:$D$43,MATCH($A6,Feiertage!$A$4:$A$43,0)),Настройки!$D$34)</f>
        <v/>
      </c>
      <c r="AE6">
        <f>IFERROR(INDEX(Feiertage!$D$4:$D$43,MATCH($A6+1,Feiertage!$A$4:$A$43,0)),Настройки!$D$34)</f>
        <v/>
      </c>
      <c r="AF6">
        <f>IF($W6="",0,MAX(0,MIN($X6,Настройки!$D$25)-MAX($W6,0))+MAX(0,MIN($X6,24)-MAX($W6,Настройки!$D$24)))</f>
        <v/>
      </c>
      <c r="AG6">
        <f>IF($W6="",0,MAX(0,MIN($X6,24+Настройки!$D$25)-MAX($W6,24)))</f>
        <v/>
      </c>
      <c r="AH6">
        <f>IF($W6="",0,MAX(0,MIN($X6,24)-MAX($W6,0)))</f>
        <v/>
      </c>
      <c r="AI6">
        <f>IF($W6="",0,MAX(0,MIN($X6,48)-MAX($W6,24)))</f>
        <v/>
      </c>
      <c r="AJ6">
        <f>($Z6*$AB6*$AH6+$AA6*$AC6*$AI6)*$Y6</f>
        <v/>
      </c>
      <c r="AK6">
        <f>$O6-$AJ6</f>
        <v/>
      </c>
      <c r="AL6">
        <f>$N6-$AJ6</f>
        <v/>
      </c>
      <c r="AM6">
        <f>$M6-(MAX($Z6,$AB6)*$AF6+MAX($AA6,$AC6)*$AG6)*$Y6</f>
        <v/>
      </c>
      <c r="AN6">
        <f>IF($G6="j",Настройки!$D$27,IF($G6="n",Настройки!$D$28,IF(Настройки!$D$29="mit FZA",Настройки!$D$27,Настройки!$D$28)))</f>
        <v/>
      </c>
      <c r="AO6">
        <f>IF($O6=0,Настройки!$D$34,($AB6*$AH6*$AD6+$AC6*$AI6*$AE6)*$Y6/$O6)</f>
        <v/>
      </c>
    </row>
    <row r="7">
      <c r="A7" s="28">
        <f>IF(3&gt;Настройки!$D$6,"",DATE(Настройки!$D$4,Настройки!$D$5,3))</f>
        <v/>
      </c>
      <c r="B7" s="29">
        <f>IF($A7="","",CHOOSE(WEEKDAY($A7,2),"Пн","Вт","Ср","Чт","Пт","Сб","Вс"))</f>
        <v/>
      </c>
      <c r="C7" s="29">
        <f>IF($A7="","",IFERROR(INDEX(Feiertage!$B$4:$B$43,MATCH($A7,Feiertage!$A$4:$A$43,0)),""))</f>
        <v/>
      </c>
      <c r="D7" s="30" t="inlineStr">
        <is>
          <t>FREI</t>
        </is>
      </c>
      <c r="E7" s="30" t="inlineStr"/>
      <c r="F7" s="30" t="inlineStr"/>
      <c r="G7" s="30" t="inlineStr"/>
      <c r="H7" s="31">
        <f>IF($D7="ND",Настройки!$D$42,IF($D7="TD",Настройки!$D$39,""))</f>
        <v/>
      </c>
      <c r="I7" s="31">
        <f>IF($D7="ND",Настройки!$D$43,IF($D7="TD",Настройки!$D$40,""))</f>
        <v/>
      </c>
      <c r="J7" s="31">
        <f>IF($D7="ND",Настройки!$D$44,IF($D7="TD",Настройки!$D$41,""))</f>
        <v/>
      </c>
      <c r="K7" s="32">
        <f>IF($H7="","",$I7-$H7+IF($I7&lt;=$H7,24,0))</f>
        <v/>
      </c>
      <c r="L7" s="32">
        <f>IF($K7="","",MAX(0,$K7-$J7))</f>
        <v/>
      </c>
      <c r="M7" s="32">
        <f>($AF7+$AG7)*$Y7</f>
        <v/>
      </c>
      <c r="N7" s="32">
        <f>($Z7*$AH7+$AA7*$AI7)*$Y7</f>
        <v/>
      </c>
      <c r="O7" s="32">
        <f>($AB7*$AH7+$AC7*$AI7)*$Y7</f>
        <v/>
      </c>
      <c r="P7" s="32">
        <f>IF($L7="","",MAX(0,$L7-$O7-$AL7-$AM7))</f>
        <v/>
      </c>
      <c r="Q7" s="33">
        <f>ROUND(Настройки!$D$10*($AK7*$AN7+$AJ7*MAX($AN7,Настройки!$D$26)+$AL7*Настройки!$D$26+$AM7*Настройки!$D$23),2)</f>
        <v/>
      </c>
      <c r="R7" s="33">
        <f>IF($E7&lt;&gt;"Arbeit",0,ROUND(MIN(Настройки!$D$10,Настройки!$D$35)*($AK7*MIN($AN7,$AO7)+$AJ7*MIN(MAX($AN7,Настройки!$D$26),$AO7)+$AL7*MIN(Настройки!$D$26,Настройки!$D$33)+$AM7*MIN(Настройки!$D$23,Настройки!$D$32)),2))</f>
        <v/>
      </c>
      <c r="S7" s="33">
        <f>IF($E7&lt;&gt;"Arbeit",0,ROUND(MIN(Настройки!$D$10,Настройки!$D$36)*($AK7*MIN($AN7,$AO7)+$AJ7*MIN(MAX($AN7,Настройки!$D$26),$AO7)+$AL7*MIN(Настройки!$D$26,Настройки!$D$33)+$AM7*MIN(Настройки!$D$23,Настройки!$D$32)),2))</f>
        <v/>
      </c>
      <c r="T7" s="35">
        <f>IF(OR($W7="",$W6=""),"",24+$W7-$X6)</f>
        <v/>
      </c>
      <c r="U7" s="34">
        <f>IF($L7="","",TRIM(IF($L7&gt;10,"смена &gt;10 ч (§ 3 / § 6 ArbZG)  ","")&amp;IF(AND($T7&lt;&gt;"",$T7&lt;11),"отдых &lt;11 ч (§ 5 ArbZG)  ","")&amp;IF(AND($L7&gt;9,$J7&lt;0.75),"перерыв &lt;45 мин (§ 4 ArbZG)  ","")&amp;IF(AND($L7&gt;6,$L7&lt;=9,$J7&lt;0.5),"перерыв &lt;30 мин (§ 4 ArbZG)","")))</f>
        <v/>
      </c>
      <c r="W7">
        <f>IF($H7="","",$H7)</f>
        <v/>
      </c>
      <c r="X7">
        <f>IF($H7="","",$I7+IF($I7&lt;=$H7,24,0))</f>
        <v/>
      </c>
      <c r="Y7">
        <f>IF(OR($K7="",$K7=0),0,$L7/$K7)</f>
        <v/>
      </c>
      <c r="Z7">
        <f>IF($A7="",0,IF(WEEKDAY($A7,2)=7,1,0))</f>
        <v/>
      </c>
      <c r="AA7">
        <f>IF($A7="",0,IF(WEEKDAY($A7+1,2)=7,1,0))</f>
        <v/>
      </c>
      <c r="AB7">
        <f>IF($A7="",0,MIN(1,COUNTIF(Feiertage!$A$4:$A$43,$A7)))</f>
        <v/>
      </c>
      <c r="AC7">
        <f>IF($A7="",0,MIN(1,COUNTIF(Feiertage!$A$4:$A$43,$A7+1)))</f>
        <v/>
      </c>
      <c r="AD7">
        <f>IFERROR(INDEX(Feiertage!$D$4:$D$43,MATCH($A7,Feiertage!$A$4:$A$43,0)),Настройки!$D$34)</f>
        <v/>
      </c>
      <c r="AE7">
        <f>IFERROR(INDEX(Feiertage!$D$4:$D$43,MATCH($A7+1,Feiertage!$A$4:$A$43,0)),Настройки!$D$34)</f>
        <v/>
      </c>
      <c r="AF7">
        <f>IF($W7="",0,MAX(0,MIN($X7,Настройки!$D$25)-MAX($W7,0))+MAX(0,MIN($X7,24)-MAX($W7,Настройки!$D$24)))</f>
        <v/>
      </c>
      <c r="AG7">
        <f>IF($W7="",0,MAX(0,MIN($X7,24+Настройки!$D$25)-MAX($W7,24)))</f>
        <v/>
      </c>
      <c r="AH7">
        <f>IF($W7="",0,MAX(0,MIN($X7,24)-MAX($W7,0)))</f>
        <v/>
      </c>
      <c r="AI7">
        <f>IF($W7="",0,MAX(0,MIN($X7,48)-MAX($W7,24)))</f>
        <v/>
      </c>
      <c r="AJ7">
        <f>($Z7*$AB7*$AH7+$AA7*$AC7*$AI7)*$Y7</f>
        <v/>
      </c>
      <c r="AK7">
        <f>$O7-$AJ7</f>
        <v/>
      </c>
      <c r="AL7">
        <f>$N7-$AJ7</f>
        <v/>
      </c>
      <c r="AM7">
        <f>$M7-(MAX($Z7,$AB7)*$AF7+MAX($AA7,$AC7)*$AG7)*$Y7</f>
        <v/>
      </c>
      <c r="AN7">
        <f>IF($G7="j",Настройки!$D$27,IF($G7="n",Настройки!$D$28,IF(Настройки!$D$29="mit FZA",Настройки!$D$27,Настройки!$D$28)))</f>
        <v/>
      </c>
      <c r="AO7">
        <f>IF($O7=0,Настройки!$D$34,($AB7*$AH7*$AD7+$AC7*$AI7*$AE7)*$Y7/$O7)</f>
        <v/>
      </c>
    </row>
    <row r="8">
      <c r="A8" s="28">
        <f>IF(4&gt;Настройки!$D$6,"",DATE(Настройки!$D$4,Настройки!$D$5,4))</f>
        <v/>
      </c>
      <c r="B8" s="29">
        <f>IF($A8="","",CHOOSE(WEEKDAY($A8,2),"Пн","Вт","Ср","Чт","Пт","Сб","Вс"))</f>
        <v/>
      </c>
      <c r="C8" s="29">
        <f>IF($A8="","",IFERROR(INDEX(Feiertage!$B$4:$B$43,MATCH($A8,Feiertage!$A$4:$A$43,0)),""))</f>
        <v/>
      </c>
      <c r="D8" s="30" t="inlineStr">
        <is>
          <t>ND</t>
        </is>
      </c>
      <c r="E8" s="30" t="inlineStr">
        <is>
          <t>Arbeit</t>
        </is>
      </c>
      <c r="F8" s="30" t="inlineStr"/>
      <c r="G8" s="30" t="inlineStr"/>
      <c r="H8" s="31">
        <f>IF($D8="ND",Настройки!$D$42,IF($D8="TD",Настройки!$D$39,""))</f>
        <v/>
      </c>
      <c r="I8" s="31">
        <f>IF($D8="ND",Настройки!$D$43,IF($D8="TD",Настройки!$D$40,""))</f>
        <v/>
      </c>
      <c r="J8" s="31">
        <f>IF($D8="ND",Настройки!$D$44,IF($D8="TD",Настройки!$D$41,""))</f>
        <v/>
      </c>
      <c r="K8" s="32">
        <f>IF($H8="","",$I8-$H8+IF($I8&lt;=$H8,24,0))</f>
        <v/>
      </c>
      <c r="L8" s="32">
        <f>IF($K8="","",MAX(0,$K8-$J8))</f>
        <v/>
      </c>
      <c r="M8" s="32">
        <f>($AF8+$AG8)*$Y8</f>
        <v/>
      </c>
      <c r="N8" s="32">
        <f>($Z8*$AH8+$AA8*$AI8)*$Y8</f>
        <v/>
      </c>
      <c r="O8" s="32">
        <f>($AB8*$AH8+$AC8*$AI8)*$Y8</f>
        <v/>
      </c>
      <c r="P8" s="32">
        <f>IF($L8="","",MAX(0,$L8-$O8-$AL8-$AM8))</f>
        <v/>
      </c>
      <c r="Q8" s="33">
        <f>ROUND(Настройки!$D$10*($AK8*$AN8+$AJ8*MAX($AN8,Настройки!$D$26)+$AL8*Настройки!$D$26+$AM8*Настройки!$D$23),2)</f>
        <v/>
      </c>
      <c r="R8" s="33">
        <f>IF($E8&lt;&gt;"Arbeit",0,ROUND(MIN(Настройки!$D$10,Настройки!$D$35)*($AK8*MIN($AN8,$AO8)+$AJ8*MIN(MAX($AN8,Настройки!$D$26),$AO8)+$AL8*MIN(Настройки!$D$26,Настройки!$D$33)+$AM8*MIN(Настройки!$D$23,Настройки!$D$32)),2))</f>
        <v/>
      </c>
      <c r="S8" s="33">
        <f>IF($E8&lt;&gt;"Arbeit",0,ROUND(MIN(Настройки!$D$10,Настройки!$D$36)*($AK8*MIN($AN8,$AO8)+$AJ8*MIN(MAX($AN8,Настройки!$D$26),$AO8)+$AL8*MIN(Настройки!$D$26,Настройки!$D$33)+$AM8*MIN(Настройки!$D$23,Настройки!$D$32)),2))</f>
        <v/>
      </c>
      <c r="T8" s="35">
        <f>IF(OR($W8="",$W7=""),"",24+$W8-$X7)</f>
        <v/>
      </c>
      <c r="U8" s="34">
        <f>IF($L8="","",TRIM(IF($L8&gt;10,"смена &gt;10 ч (§ 3 / § 6 ArbZG)  ","")&amp;IF(AND($T8&lt;&gt;"",$T8&lt;11),"отдых &lt;11 ч (§ 5 ArbZG)  ","")&amp;IF(AND($L8&gt;9,$J8&lt;0.75),"перерыв &lt;45 мин (§ 4 ArbZG)  ","")&amp;IF(AND($L8&gt;6,$L8&lt;=9,$J8&lt;0.5),"перерыв &lt;30 мин (§ 4 ArbZG)","")))</f>
        <v/>
      </c>
      <c r="W8">
        <f>IF($H8="","",$H8)</f>
        <v/>
      </c>
      <c r="X8">
        <f>IF($H8="","",$I8+IF($I8&lt;=$H8,24,0))</f>
        <v/>
      </c>
      <c r="Y8">
        <f>IF(OR($K8="",$K8=0),0,$L8/$K8)</f>
        <v/>
      </c>
      <c r="Z8">
        <f>IF($A8="",0,IF(WEEKDAY($A8,2)=7,1,0))</f>
        <v/>
      </c>
      <c r="AA8">
        <f>IF($A8="",0,IF(WEEKDAY($A8+1,2)=7,1,0))</f>
        <v/>
      </c>
      <c r="AB8">
        <f>IF($A8="",0,MIN(1,COUNTIF(Feiertage!$A$4:$A$43,$A8)))</f>
        <v/>
      </c>
      <c r="AC8">
        <f>IF($A8="",0,MIN(1,COUNTIF(Feiertage!$A$4:$A$43,$A8+1)))</f>
        <v/>
      </c>
      <c r="AD8">
        <f>IFERROR(INDEX(Feiertage!$D$4:$D$43,MATCH($A8,Feiertage!$A$4:$A$43,0)),Настройки!$D$34)</f>
        <v/>
      </c>
      <c r="AE8">
        <f>IFERROR(INDEX(Feiertage!$D$4:$D$43,MATCH($A8+1,Feiertage!$A$4:$A$43,0)),Настройки!$D$34)</f>
        <v/>
      </c>
      <c r="AF8">
        <f>IF($W8="",0,MAX(0,MIN($X8,Настройки!$D$25)-MAX($W8,0))+MAX(0,MIN($X8,24)-MAX($W8,Настройки!$D$24)))</f>
        <v/>
      </c>
      <c r="AG8">
        <f>IF($W8="",0,MAX(0,MIN($X8,24+Настройки!$D$25)-MAX($W8,24)))</f>
        <v/>
      </c>
      <c r="AH8">
        <f>IF($W8="",0,MAX(0,MIN($X8,24)-MAX($W8,0)))</f>
        <v/>
      </c>
      <c r="AI8">
        <f>IF($W8="",0,MAX(0,MIN($X8,48)-MAX($W8,24)))</f>
        <v/>
      </c>
      <c r="AJ8">
        <f>($Z8*$AB8*$AH8+$AA8*$AC8*$AI8)*$Y8</f>
        <v/>
      </c>
      <c r="AK8">
        <f>$O8-$AJ8</f>
        <v/>
      </c>
      <c r="AL8">
        <f>$N8-$AJ8</f>
        <v/>
      </c>
      <c r="AM8">
        <f>$M8-(MAX($Z8,$AB8)*$AF8+MAX($AA8,$AC8)*$AG8)*$Y8</f>
        <v/>
      </c>
      <c r="AN8">
        <f>IF($G8="j",Настройки!$D$27,IF($G8="n",Настройки!$D$28,IF(Настройки!$D$29="mit FZA",Настройки!$D$27,Настройки!$D$28)))</f>
        <v/>
      </c>
      <c r="AO8">
        <f>IF($O8=0,Настройки!$D$34,($AB8*$AH8*$AD8+$AC8*$AI8*$AE8)*$Y8/$O8)</f>
        <v/>
      </c>
    </row>
    <row r="9">
      <c r="A9" s="28">
        <f>IF(5&gt;Настройки!$D$6,"",DATE(Настройки!$D$4,Настройки!$D$5,5))</f>
        <v/>
      </c>
      <c r="B9" s="29">
        <f>IF($A9="","",CHOOSE(WEEKDAY($A9,2),"Пн","Вт","Ср","Чт","Пт","Сб","Вс"))</f>
        <v/>
      </c>
      <c r="C9" s="29">
        <f>IF($A9="","",IFERROR(INDEX(Feiertage!$B$4:$B$43,MATCH($A9,Feiertage!$A$4:$A$43,0)),""))</f>
        <v/>
      </c>
      <c r="D9" s="30" t="inlineStr">
        <is>
          <t>ND</t>
        </is>
      </c>
      <c r="E9" s="30" t="inlineStr">
        <is>
          <t>Arbeit</t>
        </is>
      </c>
      <c r="F9" s="30" t="inlineStr"/>
      <c r="G9" s="30" t="inlineStr"/>
      <c r="H9" s="31">
        <f>IF($D9="ND",Настройки!$D$42,IF($D9="TD",Настройки!$D$39,""))</f>
        <v/>
      </c>
      <c r="I9" s="31">
        <f>IF($D9="ND",Настройки!$D$43,IF($D9="TD",Настройки!$D$40,""))</f>
        <v/>
      </c>
      <c r="J9" s="31">
        <f>IF($D9="ND",Настройки!$D$44,IF($D9="TD",Настройки!$D$41,""))</f>
        <v/>
      </c>
      <c r="K9" s="32">
        <f>IF($H9="","",$I9-$H9+IF($I9&lt;=$H9,24,0))</f>
        <v/>
      </c>
      <c r="L9" s="32">
        <f>IF($K9="","",MAX(0,$K9-$J9))</f>
        <v/>
      </c>
      <c r="M9" s="32">
        <f>($AF9+$AG9)*$Y9</f>
        <v/>
      </c>
      <c r="N9" s="32">
        <f>($Z9*$AH9+$AA9*$AI9)*$Y9</f>
        <v/>
      </c>
      <c r="O9" s="32">
        <f>($AB9*$AH9+$AC9*$AI9)*$Y9</f>
        <v/>
      </c>
      <c r="P9" s="32">
        <f>IF($L9="","",MAX(0,$L9-$O9-$AL9-$AM9))</f>
        <v/>
      </c>
      <c r="Q9" s="33">
        <f>ROUND(Настройки!$D$10*($AK9*$AN9+$AJ9*MAX($AN9,Настройки!$D$26)+$AL9*Настройки!$D$26+$AM9*Настройки!$D$23),2)</f>
        <v/>
      </c>
      <c r="R9" s="33">
        <f>IF($E9&lt;&gt;"Arbeit",0,ROUND(MIN(Настройки!$D$10,Настройки!$D$35)*($AK9*MIN($AN9,$AO9)+$AJ9*MIN(MAX($AN9,Настройки!$D$26),$AO9)+$AL9*MIN(Настройки!$D$26,Настройки!$D$33)+$AM9*MIN(Настройки!$D$23,Настройки!$D$32)),2))</f>
        <v/>
      </c>
      <c r="S9" s="33">
        <f>IF($E9&lt;&gt;"Arbeit",0,ROUND(MIN(Настройки!$D$10,Настройки!$D$36)*($AK9*MIN($AN9,$AO9)+$AJ9*MIN(MAX($AN9,Настройки!$D$26),$AO9)+$AL9*MIN(Настройки!$D$26,Настройки!$D$33)+$AM9*MIN(Настройки!$D$23,Настройки!$D$32)),2))</f>
        <v/>
      </c>
      <c r="T9" s="35">
        <f>IF(OR($W9="",$W8=""),"",24+$W9-$X8)</f>
        <v/>
      </c>
      <c r="U9" s="34">
        <f>IF($L9="","",TRIM(IF($L9&gt;10,"смена &gt;10 ч (§ 3 / § 6 ArbZG)  ","")&amp;IF(AND($T9&lt;&gt;"",$T9&lt;11),"отдых &lt;11 ч (§ 5 ArbZG)  ","")&amp;IF(AND($L9&gt;9,$J9&lt;0.75),"перерыв &lt;45 мин (§ 4 ArbZG)  ","")&amp;IF(AND($L9&gt;6,$L9&lt;=9,$J9&lt;0.5),"перерыв &lt;30 мин (§ 4 ArbZG)","")))</f>
        <v/>
      </c>
      <c r="W9">
        <f>IF($H9="","",$H9)</f>
        <v/>
      </c>
      <c r="X9">
        <f>IF($H9="","",$I9+IF($I9&lt;=$H9,24,0))</f>
        <v/>
      </c>
      <c r="Y9">
        <f>IF(OR($K9="",$K9=0),0,$L9/$K9)</f>
        <v/>
      </c>
      <c r="Z9">
        <f>IF($A9="",0,IF(WEEKDAY($A9,2)=7,1,0))</f>
        <v/>
      </c>
      <c r="AA9">
        <f>IF($A9="",0,IF(WEEKDAY($A9+1,2)=7,1,0))</f>
        <v/>
      </c>
      <c r="AB9">
        <f>IF($A9="",0,MIN(1,COUNTIF(Feiertage!$A$4:$A$43,$A9)))</f>
        <v/>
      </c>
      <c r="AC9">
        <f>IF($A9="",0,MIN(1,COUNTIF(Feiertage!$A$4:$A$43,$A9+1)))</f>
        <v/>
      </c>
      <c r="AD9">
        <f>IFERROR(INDEX(Feiertage!$D$4:$D$43,MATCH($A9,Feiertage!$A$4:$A$43,0)),Настройки!$D$34)</f>
        <v/>
      </c>
      <c r="AE9">
        <f>IFERROR(INDEX(Feiertage!$D$4:$D$43,MATCH($A9+1,Feiertage!$A$4:$A$43,0)),Настройки!$D$34)</f>
        <v/>
      </c>
      <c r="AF9">
        <f>IF($W9="",0,MAX(0,MIN($X9,Настройки!$D$25)-MAX($W9,0))+MAX(0,MIN($X9,24)-MAX($W9,Настройки!$D$24)))</f>
        <v/>
      </c>
      <c r="AG9">
        <f>IF($W9="",0,MAX(0,MIN($X9,24+Настройки!$D$25)-MAX($W9,24)))</f>
        <v/>
      </c>
      <c r="AH9">
        <f>IF($W9="",0,MAX(0,MIN($X9,24)-MAX($W9,0)))</f>
        <v/>
      </c>
      <c r="AI9">
        <f>IF($W9="",0,MAX(0,MIN($X9,48)-MAX($W9,24)))</f>
        <v/>
      </c>
      <c r="AJ9">
        <f>($Z9*$AB9*$AH9+$AA9*$AC9*$AI9)*$Y9</f>
        <v/>
      </c>
      <c r="AK9">
        <f>$O9-$AJ9</f>
        <v/>
      </c>
      <c r="AL9">
        <f>$N9-$AJ9</f>
        <v/>
      </c>
      <c r="AM9">
        <f>$M9-(MAX($Z9,$AB9)*$AF9+MAX($AA9,$AC9)*$AG9)*$Y9</f>
        <v/>
      </c>
      <c r="AN9">
        <f>IF($G9="j",Настройки!$D$27,IF($G9="n",Настройки!$D$28,IF(Настройки!$D$29="mit FZA",Настройки!$D$27,Настройки!$D$28)))</f>
        <v/>
      </c>
      <c r="AO9">
        <f>IF($O9=0,Настройки!$D$34,($AB9*$AH9*$AD9+$AC9*$AI9*$AE9)*$Y9/$O9)</f>
        <v/>
      </c>
    </row>
    <row r="10">
      <c r="A10" s="28">
        <f>IF(6&gt;Настройки!$D$6,"",DATE(Настройки!$D$4,Настройки!$D$5,6))</f>
        <v/>
      </c>
      <c r="B10" s="29">
        <f>IF($A10="","",CHOOSE(WEEKDAY($A10,2),"Пн","Вт","Ср","Чт","Пт","Сб","Вс"))</f>
        <v/>
      </c>
      <c r="C10" s="29">
        <f>IF($A10="","",IFERROR(INDEX(Feiertage!$B$4:$B$43,MATCH($A10,Feiertage!$A$4:$A$43,0)),""))</f>
        <v/>
      </c>
      <c r="D10" s="30" t="inlineStr">
        <is>
          <t>ND</t>
        </is>
      </c>
      <c r="E10" s="30" t="inlineStr">
        <is>
          <t>Arbeit</t>
        </is>
      </c>
      <c r="F10" s="30" t="inlineStr"/>
      <c r="G10" s="30" t="inlineStr"/>
      <c r="H10" s="31">
        <f>IF($D10="ND",Настройки!$D$42,IF($D10="TD",Настройки!$D$39,""))</f>
        <v/>
      </c>
      <c r="I10" s="31">
        <f>IF($D10="ND",Настройки!$D$43,IF($D10="TD",Настройки!$D$40,""))</f>
        <v/>
      </c>
      <c r="J10" s="31">
        <f>IF($D10="ND",Настройки!$D$44,IF($D10="TD",Настройки!$D$41,""))</f>
        <v/>
      </c>
      <c r="K10" s="32">
        <f>IF($H10="","",$I10-$H10+IF($I10&lt;=$H10,24,0))</f>
        <v/>
      </c>
      <c r="L10" s="32">
        <f>IF($K10="","",MAX(0,$K10-$J10))</f>
        <v/>
      </c>
      <c r="M10" s="32">
        <f>($AF10+$AG10)*$Y10</f>
        <v/>
      </c>
      <c r="N10" s="32">
        <f>($Z10*$AH10+$AA10*$AI10)*$Y10</f>
        <v/>
      </c>
      <c r="O10" s="32">
        <f>($AB10*$AH10+$AC10*$AI10)*$Y10</f>
        <v/>
      </c>
      <c r="P10" s="32">
        <f>IF($L10="","",MAX(0,$L10-$O10-$AL10-$AM10))</f>
        <v/>
      </c>
      <c r="Q10" s="33">
        <f>ROUND(Настройки!$D$10*($AK10*$AN10+$AJ10*MAX($AN10,Настройки!$D$26)+$AL10*Настройки!$D$26+$AM10*Настройки!$D$23),2)</f>
        <v/>
      </c>
      <c r="R10" s="33">
        <f>IF($E10&lt;&gt;"Arbeit",0,ROUND(MIN(Настройки!$D$10,Настройки!$D$35)*($AK10*MIN($AN10,$AO10)+$AJ10*MIN(MAX($AN10,Настройки!$D$26),$AO10)+$AL10*MIN(Настройки!$D$26,Настройки!$D$33)+$AM10*MIN(Настройки!$D$23,Настройки!$D$32)),2))</f>
        <v/>
      </c>
      <c r="S10" s="33">
        <f>IF($E10&lt;&gt;"Arbeit",0,ROUND(MIN(Настройки!$D$10,Настройки!$D$36)*($AK10*MIN($AN10,$AO10)+$AJ10*MIN(MAX($AN10,Настройки!$D$26),$AO10)+$AL10*MIN(Настройки!$D$26,Настройки!$D$33)+$AM10*MIN(Настройки!$D$23,Настройки!$D$32)),2))</f>
        <v/>
      </c>
      <c r="T10" s="35">
        <f>IF(OR($W10="",$W9=""),"",24+$W10-$X9)</f>
        <v/>
      </c>
      <c r="U10" s="34">
        <f>IF($L10="","",TRIM(IF($L10&gt;10,"смена &gt;10 ч (§ 3 / § 6 ArbZG)  ","")&amp;IF(AND($T10&lt;&gt;"",$T10&lt;11),"отдых &lt;11 ч (§ 5 ArbZG)  ","")&amp;IF(AND($L10&gt;9,$J10&lt;0.75),"перерыв &lt;45 мин (§ 4 ArbZG)  ","")&amp;IF(AND($L10&gt;6,$L10&lt;=9,$J10&lt;0.5),"перерыв &lt;30 мин (§ 4 ArbZG)","")))</f>
        <v/>
      </c>
      <c r="W10">
        <f>IF($H10="","",$H10)</f>
        <v/>
      </c>
      <c r="X10">
        <f>IF($H10="","",$I10+IF($I10&lt;=$H10,24,0))</f>
        <v/>
      </c>
      <c r="Y10">
        <f>IF(OR($K10="",$K10=0),0,$L10/$K10)</f>
        <v/>
      </c>
      <c r="Z10">
        <f>IF($A10="",0,IF(WEEKDAY($A10,2)=7,1,0))</f>
        <v/>
      </c>
      <c r="AA10">
        <f>IF($A10="",0,IF(WEEKDAY($A10+1,2)=7,1,0))</f>
        <v/>
      </c>
      <c r="AB10">
        <f>IF($A10="",0,MIN(1,COUNTIF(Feiertage!$A$4:$A$43,$A10)))</f>
        <v/>
      </c>
      <c r="AC10">
        <f>IF($A10="",0,MIN(1,COUNTIF(Feiertage!$A$4:$A$43,$A10+1)))</f>
        <v/>
      </c>
      <c r="AD10">
        <f>IFERROR(INDEX(Feiertage!$D$4:$D$43,MATCH($A10,Feiertage!$A$4:$A$43,0)),Настройки!$D$34)</f>
        <v/>
      </c>
      <c r="AE10">
        <f>IFERROR(INDEX(Feiertage!$D$4:$D$43,MATCH($A10+1,Feiertage!$A$4:$A$43,0)),Настройки!$D$34)</f>
        <v/>
      </c>
      <c r="AF10">
        <f>IF($W10="",0,MAX(0,MIN($X10,Настройки!$D$25)-MAX($W10,0))+MAX(0,MIN($X10,24)-MAX($W10,Настройки!$D$24)))</f>
        <v/>
      </c>
      <c r="AG10">
        <f>IF($W10="",0,MAX(0,MIN($X10,24+Настройки!$D$25)-MAX($W10,24)))</f>
        <v/>
      </c>
      <c r="AH10">
        <f>IF($W10="",0,MAX(0,MIN($X10,24)-MAX($W10,0)))</f>
        <v/>
      </c>
      <c r="AI10">
        <f>IF($W10="",0,MAX(0,MIN($X10,48)-MAX($W10,24)))</f>
        <v/>
      </c>
      <c r="AJ10">
        <f>($Z10*$AB10*$AH10+$AA10*$AC10*$AI10)*$Y10</f>
        <v/>
      </c>
      <c r="AK10">
        <f>$O10-$AJ10</f>
        <v/>
      </c>
      <c r="AL10">
        <f>$N10-$AJ10</f>
        <v/>
      </c>
      <c r="AM10">
        <f>$M10-(MAX($Z10,$AB10)*$AF10+MAX($AA10,$AC10)*$AG10)*$Y10</f>
        <v/>
      </c>
      <c r="AN10">
        <f>IF($G10="j",Настройки!$D$27,IF($G10="n",Настройки!$D$28,IF(Настройки!$D$29="mit FZA",Настройки!$D$27,Настройки!$D$28)))</f>
        <v/>
      </c>
      <c r="AO10">
        <f>IF($O10=0,Настройки!$D$34,($AB10*$AH10*$AD10+$AC10*$AI10*$AE10)*$Y10/$O10)</f>
        <v/>
      </c>
    </row>
    <row r="11">
      <c r="A11" s="28">
        <f>IF(7&gt;Настройки!$D$6,"",DATE(Настройки!$D$4,Настройки!$D$5,7))</f>
        <v/>
      </c>
      <c r="B11" s="29">
        <f>IF($A11="","",CHOOSE(WEEKDAY($A11,2),"Пн","Вт","Ср","Чт","Пт","Сб","Вс"))</f>
        <v/>
      </c>
      <c r="C11" s="29">
        <f>IF($A11="","",IFERROR(INDEX(Feiertage!$B$4:$B$43,MATCH($A11,Feiertage!$A$4:$A$43,0)),""))</f>
        <v/>
      </c>
      <c r="D11" s="30" t="inlineStr">
        <is>
          <t>FREI</t>
        </is>
      </c>
      <c r="E11" s="30" t="inlineStr"/>
      <c r="F11" s="30" t="inlineStr"/>
      <c r="G11" s="30" t="inlineStr"/>
      <c r="H11" s="31">
        <f>IF($D11="ND",Настройки!$D$42,IF($D11="TD",Настройки!$D$39,""))</f>
        <v/>
      </c>
      <c r="I11" s="31">
        <f>IF($D11="ND",Настройки!$D$43,IF($D11="TD",Настройки!$D$40,""))</f>
        <v/>
      </c>
      <c r="J11" s="31">
        <f>IF($D11="ND",Настройки!$D$44,IF($D11="TD",Настройки!$D$41,""))</f>
        <v/>
      </c>
      <c r="K11" s="32">
        <f>IF($H11="","",$I11-$H11+IF($I11&lt;=$H11,24,0))</f>
        <v/>
      </c>
      <c r="L11" s="32">
        <f>IF($K11="","",MAX(0,$K11-$J11))</f>
        <v/>
      </c>
      <c r="M11" s="32">
        <f>($AF11+$AG11)*$Y11</f>
        <v/>
      </c>
      <c r="N11" s="32">
        <f>($Z11*$AH11+$AA11*$AI11)*$Y11</f>
        <v/>
      </c>
      <c r="O11" s="32">
        <f>($AB11*$AH11+$AC11*$AI11)*$Y11</f>
        <v/>
      </c>
      <c r="P11" s="32">
        <f>IF($L11="","",MAX(0,$L11-$O11-$AL11-$AM11))</f>
        <v/>
      </c>
      <c r="Q11" s="33">
        <f>ROUND(Настройки!$D$10*($AK11*$AN11+$AJ11*MAX($AN11,Настройки!$D$26)+$AL11*Настройки!$D$26+$AM11*Настройки!$D$23),2)</f>
        <v/>
      </c>
      <c r="R11" s="33">
        <f>IF($E11&lt;&gt;"Arbeit",0,ROUND(MIN(Настройки!$D$10,Настройки!$D$35)*($AK11*MIN($AN11,$AO11)+$AJ11*MIN(MAX($AN11,Настройки!$D$26),$AO11)+$AL11*MIN(Настройки!$D$26,Настройки!$D$33)+$AM11*MIN(Настройки!$D$23,Настройки!$D$32)),2))</f>
        <v/>
      </c>
      <c r="S11" s="33">
        <f>IF($E11&lt;&gt;"Arbeit",0,ROUND(MIN(Настройки!$D$10,Настройки!$D$36)*($AK11*MIN($AN11,$AO11)+$AJ11*MIN(MAX($AN11,Настройки!$D$26),$AO11)+$AL11*MIN(Настройки!$D$26,Настройки!$D$33)+$AM11*MIN(Настройки!$D$23,Настройки!$D$32)),2))</f>
        <v/>
      </c>
      <c r="T11" s="35">
        <f>IF(OR($W11="",$W10=""),"",24+$W11-$X10)</f>
        <v/>
      </c>
      <c r="U11" s="34">
        <f>IF($L11="","",TRIM(IF($L11&gt;10,"смена &gt;10 ч (§ 3 / § 6 ArbZG)  ","")&amp;IF(AND($T11&lt;&gt;"",$T11&lt;11),"отдых &lt;11 ч (§ 5 ArbZG)  ","")&amp;IF(AND($L11&gt;9,$J11&lt;0.75),"перерыв &lt;45 мин (§ 4 ArbZG)  ","")&amp;IF(AND($L11&gt;6,$L11&lt;=9,$J11&lt;0.5),"перерыв &lt;30 мин (§ 4 ArbZG)","")))</f>
        <v/>
      </c>
      <c r="W11">
        <f>IF($H11="","",$H11)</f>
        <v/>
      </c>
      <c r="X11">
        <f>IF($H11="","",$I11+IF($I11&lt;=$H11,24,0))</f>
        <v/>
      </c>
      <c r="Y11">
        <f>IF(OR($K11="",$K11=0),0,$L11/$K11)</f>
        <v/>
      </c>
      <c r="Z11">
        <f>IF($A11="",0,IF(WEEKDAY($A11,2)=7,1,0))</f>
        <v/>
      </c>
      <c r="AA11">
        <f>IF($A11="",0,IF(WEEKDAY($A11+1,2)=7,1,0))</f>
        <v/>
      </c>
      <c r="AB11">
        <f>IF($A11="",0,MIN(1,COUNTIF(Feiertage!$A$4:$A$43,$A11)))</f>
        <v/>
      </c>
      <c r="AC11">
        <f>IF($A11="",0,MIN(1,COUNTIF(Feiertage!$A$4:$A$43,$A11+1)))</f>
        <v/>
      </c>
      <c r="AD11">
        <f>IFERROR(INDEX(Feiertage!$D$4:$D$43,MATCH($A11,Feiertage!$A$4:$A$43,0)),Настройки!$D$34)</f>
        <v/>
      </c>
      <c r="AE11">
        <f>IFERROR(INDEX(Feiertage!$D$4:$D$43,MATCH($A11+1,Feiertage!$A$4:$A$43,0)),Настройки!$D$34)</f>
        <v/>
      </c>
      <c r="AF11">
        <f>IF($W11="",0,MAX(0,MIN($X11,Настройки!$D$25)-MAX($W11,0))+MAX(0,MIN($X11,24)-MAX($W11,Настройки!$D$24)))</f>
        <v/>
      </c>
      <c r="AG11">
        <f>IF($W11="",0,MAX(0,MIN($X11,24+Настройки!$D$25)-MAX($W11,24)))</f>
        <v/>
      </c>
      <c r="AH11">
        <f>IF($W11="",0,MAX(0,MIN($X11,24)-MAX($W11,0)))</f>
        <v/>
      </c>
      <c r="AI11">
        <f>IF($W11="",0,MAX(0,MIN($X11,48)-MAX($W11,24)))</f>
        <v/>
      </c>
      <c r="AJ11">
        <f>($Z11*$AB11*$AH11+$AA11*$AC11*$AI11)*$Y11</f>
        <v/>
      </c>
      <c r="AK11">
        <f>$O11-$AJ11</f>
        <v/>
      </c>
      <c r="AL11">
        <f>$N11-$AJ11</f>
        <v/>
      </c>
      <c r="AM11">
        <f>$M11-(MAX($Z11,$AB11)*$AF11+MAX($AA11,$AC11)*$AG11)*$Y11</f>
        <v/>
      </c>
      <c r="AN11">
        <f>IF($G11="j",Настройки!$D$27,IF($G11="n",Настройки!$D$28,IF(Настройки!$D$29="mit FZA",Настройки!$D$27,Настройки!$D$28)))</f>
        <v/>
      </c>
      <c r="AO11">
        <f>IF($O11=0,Настройки!$D$34,($AB11*$AH11*$AD11+$AC11*$AI11*$AE11)*$Y11/$O11)</f>
        <v/>
      </c>
    </row>
    <row r="12">
      <c r="A12" s="28">
        <f>IF(8&gt;Настройки!$D$6,"",DATE(Настройки!$D$4,Настройки!$D$5,8))</f>
        <v/>
      </c>
      <c r="B12" s="29">
        <f>IF($A12="","",CHOOSE(WEEKDAY($A12,2),"Пн","Вт","Ср","Чт","Пт","Сб","Вс"))</f>
        <v/>
      </c>
      <c r="C12" s="29">
        <f>IF($A12="","",IFERROR(INDEX(Feiertage!$B$4:$B$43,MATCH($A12,Feiertage!$A$4:$A$43,0)),""))</f>
        <v/>
      </c>
      <c r="D12" s="30" t="inlineStr">
        <is>
          <t>FREI</t>
        </is>
      </c>
      <c r="E12" s="30" t="inlineStr"/>
      <c r="F12" s="30" t="inlineStr"/>
      <c r="G12" s="30" t="inlineStr"/>
      <c r="H12" s="31">
        <f>IF($D12="ND",Настройки!$D$42,IF($D12="TD",Настройки!$D$39,""))</f>
        <v/>
      </c>
      <c r="I12" s="31">
        <f>IF($D12="ND",Настройки!$D$43,IF($D12="TD",Настройки!$D$40,""))</f>
        <v/>
      </c>
      <c r="J12" s="31">
        <f>IF($D12="ND",Настройки!$D$44,IF($D12="TD",Настройки!$D$41,""))</f>
        <v/>
      </c>
      <c r="K12" s="32">
        <f>IF($H12="","",$I12-$H12+IF($I12&lt;=$H12,24,0))</f>
        <v/>
      </c>
      <c r="L12" s="32">
        <f>IF($K12="","",MAX(0,$K12-$J12))</f>
        <v/>
      </c>
      <c r="M12" s="32">
        <f>($AF12+$AG12)*$Y12</f>
        <v/>
      </c>
      <c r="N12" s="32">
        <f>($Z12*$AH12+$AA12*$AI12)*$Y12</f>
        <v/>
      </c>
      <c r="O12" s="32">
        <f>($AB12*$AH12+$AC12*$AI12)*$Y12</f>
        <v/>
      </c>
      <c r="P12" s="32">
        <f>IF($L12="","",MAX(0,$L12-$O12-$AL12-$AM12))</f>
        <v/>
      </c>
      <c r="Q12" s="33">
        <f>ROUND(Настройки!$D$10*($AK12*$AN12+$AJ12*MAX($AN12,Настройки!$D$26)+$AL12*Настройки!$D$26+$AM12*Настройки!$D$23),2)</f>
        <v/>
      </c>
      <c r="R12" s="33">
        <f>IF($E12&lt;&gt;"Arbeit",0,ROUND(MIN(Настройки!$D$10,Настройки!$D$35)*($AK12*MIN($AN12,$AO12)+$AJ12*MIN(MAX($AN12,Настройки!$D$26),$AO12)+$AL12*MIN(Настройки!$D$26,Настройки!$D$33)+$AM12*MIN(Настройки!$D$23,Настройки!$D$32)),2))</f>
        <v/>
      </c>
      <c r="S12" s="33">
        <f>IF($E12&lt;&gt;"Arbeit",0,ROUND(MIN(Настройки!$D$10,Настройки!$D$36)*($AK12*MIN($AN12,$AO12)+$AJ12*MIN(MAX($AN12,Настройки!$D$26),$AO12)+$AL12*MIN(Настройки!$D$26,Настройки!$D$33)+$AM12*MIN(Настройки!$D$23,Настройки!$D$32)),2))</f>
        <v/>
      </c>
      <c r="T12" s="35">
        <f>IF(OR($W12="",$W11=""),"",24+$W12-$X11)</f>
        <v/>
      </c>
      <c r="U12" s="34">
        <f>IF($L12="","",TRIM(IF($L12&gt;10,"смена &gt;10 ч (§ 3 / § 6 ArbZG)  ","")&amp;IF(AND($T12&lt;&gt;"",$T12&lt;11),"отдых &lt;11 ч (§ 5 ArbZG)  ","")&amp;IF(AND($L12&gt;9,$J12&lt;0.75),"перерыв &lt;45 мин (§ 4 ArbZG)  ","")&amp;IF(AND($L12&gt;6,$L12&lt;=9,$J12&lt;0.5),"перерыв &lt;30 мин (§ 4 ArbZG)","")))</f>
        <v/>
      </c>
      <c r="W12">
        <f>IF($H12="","",$H12)</f>
        <v/>
      </c>
      <c r="X12">
        <f>IF($H12="","",$I12+IF($I12&lt;=$H12,24,0))</f>
        <v/>
      </c>
      <c r="Y12">
        <f>IF(OR($K12="",$K12=0),0,$L12/$K12)</f>
        <v/>
      </c>
      <c r="Z12">
        <f>IF($A12="",0,IF(WEEKDAY($A12,2)=7,1,0))</f>
        <v/>
      </c>
      <c r="AA12">
        <f>IF($A12="",0,IF(WEEKDAY($A12+1,2)=7,1,0))</f>
        <v/>
      </c>
      <c r="AB12">
        <f>IF($A12="",0,MIN(1,COUNTIF(Feiertage!$A$4:$A$43,$A12)))</f>
        <v/>
      </c>
      <c r="AC12">
        <f>IF($A12="",0,MIN(1,COUNTIF(Feiertage!$A$4:$A$43,$A12+1)))</f>
        <v/>
      </c>
      <c r="AD12">
        <f>IFERROR(INDEX(Feiertage!$D$4:$D$43,MATCH($A12,Feiertage!$A$4:$A$43,0)),Настройки!$D$34)</f>
        <v/>
      </c>
      <c r="AE12">
        <f>IFERROR(INDEX(Feiertage!$D$4:$D$43,MATCH($A12+1,Feiertage!$A$4:$A$43,0)),Настройки!$D$34)</f>
        <v/>
      </c>
      <c r="AF12">
        <f>IF($W12="",0,MAX(0,MIN($X12,Настройки!$D$25)-MAX($W12,0))+MAX(0,MIN($X12,24)-MAX($W12,Настройки!$D$24)))</f>
        <v/>
      </c>
      <c r="AG12">
        <f>IF($W12="",0,MAX(0,MIN($X12,24+Настройки!$D$25)-MAX($W12,24)))</f>
        <v/>
      </c>
      <c r="AH12">
        <f>IF($W12="",0,MAX(0,MIN($X12,24)-MAX($W12,0)))</f>
        <v/>
      </c>
      <c r="AI12">
        <f>IF($W12="",0,MAX(0,MIN($X12,48)-MAX($W12,24)))</f>
        <v/>
      </c>
      <c r="AJ12">
        <f>($Z12*$AB12*$AH12+$AA12*$AC12*$AI12)*$Y12</f>
        <v/>
      </c>
      <c r="AK12">
        <f>$O12-$AJ12</f>
        <v/>
      </c>
      <c r="AL12">
        <f>$N12-$AJ12</f>
        <v/>
      </c>
      <c r="AM12">
        <f>$M12-(MAX($Z12,$AB12)*$AF12+MAX($AA12,$AC12)*$AG12)*$Y12</f>
        <v/>
      </c>
      <c r="AN12">
        <f>IF($G12="j",Настройки!$D$27,IF($G12="n",Настройки!$D$28,IF(Настройки!$D$29="mit FZA",Настройки!$D$27,Настройки!$D$28)))</f>
        <v/>
      </c>
      <c r="AO12">
        <f>IF($O12=0,Настройки!$D$34,($AB12*$AH12*$AD12+$AC12*$AI12*$AE12)*$Y12/$O12)</f>
        <v/>
      </c>
    </row>
    <row r="13">
      <c r="A13" s="28">
        <f>IF(9&gt;Настройки!$D$6,"",DATE(Настройки!$D$4,Настройки!$D$5,9))</f>
        <v/>
      </c>
      <c r="B13" s="29">
        <f>IF($A13="","",CHOOSE(WEEKDAY($A13,2),"Пн","Вт","Ср","Чт","Пт","Сб","Вс"))</f>
        <v/>
      </c>
      <c r="C13" s="29">
        <f>IF($A13="","",IFERROR(INDEX(Feiertage!$B$4:$B$43,MATCH($A13,Feiertage!$A$4:$A$43,0)),""))</f>
        <v/>
      </c>
      <c r="D13" s="30" t="inlineStr">
        <is>
          <t>TD</t>
        </is>
      </c>
      <c r="E13" s="30" t="inlineStr">
        <is>
          <t>Arbeit</t>
        </is>
      </c>
      <c r="F13" s="30" t="inlineStr"/>
      <c r="G13" s="30" t="inlineStr"/>
      <c r="H13" s="31">
        <f>IF($D13="ND",Настройки!$D$42,IF($D13="TD",Настройки!$D$39,""))</f>
        <v/>
      </c>
      <c r="I13" s="31">
        <f>IF($D13="ND",Настройки!$D$43,IF($D13="TD",Настройки!$D$40,""))</f>
        <v/>
      </c>
      <c r="J13" s="31">
        <f>IF($D13="ND",Настройки!$D$44,IF($D13="TD",Настройки!$D$41,""))</f>
        <v/>
      </c>
      <c r="K13" s="32">
        <f>IF($H13="","",$I13-$H13+IF($I13&lt;=$H13,24,0))</f>
        <v/>
      </c>
      <c r="L13" s="32">
        <f>IF($K13="","",MAX(0,$K13-$J13))</f>
        <v/>
      </c>
      <c r="M13" s="32">
        <f>($AF13+$AG13)*$Y13</f>
        <v/>
      </c>
      <c r="N13" s="32">
        <f>($Z13*$AH13+$AA13*$AI13)*$Y13</f>
        <v/>
      </c>
      <c r="O13" s="32">
        <f>($AB13*$AH13+$AC13*$AI13)*$Y13</f>
        <v/>
      </c>
      <c r="P13" s="32">
        <f>IF($L13="","",MAX(0,$L13-$O13-$AL13-$AM13))</f>
        <v/>
      </c>
      <c r="Q13" s="33">
        <f>ROUND(Настройки!$D$10*($AK13*$AN13+$AJ13*MAX($AN13,Настройки!$D$26)+$AL13*Настройки!$D$26+$AM13*Настройки!$D$23),2)</f>
        <v/>
      </c>
      <c r="R13" s="33">
        <f>IF($E13&lt;&gt;"Arbeit",0,ROUND(MIN(Настройки!$D$10,Настройки!$D$35)*($AK13*MIN($AN13,$AO13)+$AJ13*MIN(MAX($AN13,Настройки!$D$26),$AO13)+$AL13*MIN(Настройки!$D$26,Настройки!$D$33)+$AM13*MIN(Настройки!$D$23,Настройки!$D$32)),2))</f>
        <v/>
      </c>
      <c r="S13" s="33">
        <f>IF($E13&lt;&gt;"Arbeit",0,ROUND(MIN(Настройки!$D$10,Настройки!$D$36)*($AK13*MIN($AN13,$AO13)+$AJ13*MIN(MAX($AN13,Настройки!$D$26),$AO13)+$AL13*MIN(Настройки!$D$26,Настройки!$D$33)+$AM13*MIN(Настройки!$D$23,Настройки!$D$32)),2))</f>
        <v/>
      </c>
      <c r="T13" s="35">
        <f>IF(OR($W13="",$W12=""),"",24+$W13-$X12)</f>
        <v/>
      </c>
      <c r="U13" s="34">
        <f>IF($L13="","",TRIM(IF($L13&gt;10,"смена &gt;10 ч (§ 3 / § 6 ArbZG)  ","")&amp;IF(AND($T13&lt;&gt;"",$T13&lt;11),"отдых &lt;11 ч (§ 5 ArbZG)  ","")&amp;IF(AND($L13&gt;9,$J13&lt;0.75),"перерыв &lt;45 мин (§ 4 ArbZG)  ","")&amp;IF(AND($L13&gt;6,$L13&lt;=9,$J13&lt;0.5),"перерыв &lt;30 мин (§ 4 ArbZG)","")))</f>
        <v/>
      </c>
      <c r="W13">
        <f>IF($H13="","",$H13)</f>
        <v/>
      </c>
      <c r="X13">
        <f>IF($H13="","",$I13+IF($I13&lt;=$H13,24,0))</f>
        <v/>
      </c>
      <c r="Y13">
        <f>IF(OR($K13="",$K13=0),0,$L13/$K13)</f>
        <v/>
      </c>
      <c r="Z13">
        <f>IF($A13="",0,IF(WEEKDAY($A13,2)=7,1,0))</f>
        <v/>
      </c>
      <c r="AA13">
        <f>IF($A13="",0,IF(WEEKDAY($A13+1,2)=7,1,0))</f>
        <v/>
      </c>
      <c r="AB13">
        <f>IF($A13="",0,MIN(1,COUNTIF(Feiertage!$A$4:$A$43,$A13)))</f>
        <v/>
      </c>
      <c r="AC13">
        <f>IF($A13="",0,MIN(1,COUNTIF(Feiertage!$A$4:$A$43,$A13+1)))</f>
        <v/>
      </c>
      <c r="AD13">
        <f>IFERROR(INDEX(Feiertage!$D$4:$D$43,MATCH($A13,Feiertage!$A$4:$A$43,0)),Настройки!$D$34)</f>
        <v/>
      </c>
      <c r="AE13">
        <f>IFERROR(INDEX(Feiertage!$D$4:$D$43,MATCH($A13+1,Feiertage!$A$4:$A$43,0)),Настройки!$D$34)</f>
        <v/>
      </c>
      <c r="AF13">
        <f>IF($W13="",0,MAX(0,MIN($X13,Настройки!$D$25)-MAX($W13,0))+MAX(0,MIN($X13,24)-MAX($W13,Настройки!$D$24)))</f>
        <v/>
      </c>
      <c r="AG13">
        <f>IF($W13="",0,MAX(0,MIN($X13,24+Настройки!$D$25)-MAX($W13,24)))</f>
        <v/>
      </c>
      <c r="AH13">
        <f>IF($W13="",0,MAX(0,MIN($X13,24)-MAX($W13,0)))</f>
        <v/>
      </c>
      <c r="AI13">
        <f>IF($W13="",0,MAX(0,MIN($X13,48)-MAX($W13,24)))</f>
        <v/>
      </c>
      <c r="AJ13">
        <f>($Z13*$AB13*$AH13+$AA13*$AC13*$AI13)*$Y13</f>
        <v/>
      </c>
      <c r="AK13">
        <f>$O13-$AJ13</f>
        <v/>
      </c>
      <c r="AL13">
        <f>$N13-$AJ13</f>
        <v/>
      </c>
      <c r="AM13">
        <f>$M13-(MAX($Z13,$AB13)*$AF13+MAX($AA13,$AC13)*$AG13)*$Y13</f>
        <v/>
      </c>
      <c r="AN13">
        <f>IF($G13="j",Настройки!$D$27,IF($G13="n",Настройки!$D$28,IF(Настройки!$D$29="mit FZA",Настройки!$D$27,Настройки!$D$28)))</f>
        <v/>
      </c>
      <c r="AO13">
        <f>IF($O13=0,Настройки!$D$34,($AB13*$AH13*$AD13+$AC13*$AI13*$AE13)*$Y13/$O13)</f>
        <v/>
      </c>
    </row>
    <row r="14">
      <c r="A14" s="28">
        <f>IF(10&gt;Настройки!$D$6,"",DATE(Настройки!$D$4,Настройки!$D$5,10))</f>
        <v/>
      </c>
      <c r="B14" s="29">
        <f>IF($A14="","",CHOOSE(WEEKDAY($A14,2),"Пн","Вт","Ср","Чт","Пт","Сб","Вс"))</f>
        <v/>
      </c>
      <c r="C14" s="29">
        <f>IF($A14="","",IFERROR(INDEX(Feiertage!$B$4:$B$43,MATCH($A14,Feiertage!$A$4:$A$43,0)),""))</f>
        <v/>
      </c>
      <c r="D14" s="30" t="inlineStr">
        <is>
          <t>TD</t>
        </is>
      </c>
      <c r="E14" s="30" t="inlineStr">
        <is>
          <t>Arbeit</t>
        </is>
      </c>
      <c r="F14" s="30" t="inlineStr"/>
      <c r="G14" s="30" t="inlineStr"/>
      <c r="H14" s="31">
        <f>IF($D14="ND",Настройки!$D$42,IF($D14="TD",Настройки!$D$39,""))</f>
        <v/>
      </c>
      <c r="I14" s="31">
        <f>IF($D14="ND",Настройки!$D$43,IF($D14="TD",Настройки!$D$40,""))</f>
        <v/>
      </c>
      <c r="J14" s="31">
        <f>IF($D14="ND",Настройки!$D$44,IF($D14="TD",Настройки!$D$41,""))</f>
        <v/>
      </c>
      <c r="K14" s="32">
        <f>IF($H14="","",$I14-$H14+IF($I14&lt;=$H14,24,0))</f>
        <v/>
      </c>
      <c r="L14" s="32">
        <f>IF($K14="","",MAX(0,$K14-$J14))</f>
        <v/>
      </c>
      <c r="M14" s="32">
        <f>($AF14+$AG14)*$Y14</f>
        <v/>
      </c>
      <c r="N14" s="32">
        <f>($Z14*$AH14+$AA14*$AI14)*$Y14</f>
        <v/>
      </c>
      <c r="O14" s="32">
        <f>($AB14*$AH14+$AC14*$AI14)*$Y14</f>
        <v/>
      </c>
      <c r="P14" s="32">
        <f>IF($L14="","",MAX(0,$L14-$O14-$AL14-$AM14))</f>
        <v/>
      </c>
      <c r="Q14" s="33">
        <f>ROUND(Настройки!$D$10*($AK14*$AN14+$AJ14*MAX($AN14,Настройки!$D$26)+$AL14*Настройки!$D$26+$AM14*Настройки!$D$23),2)</f>
        <v/>
      </c>
      <c r="R14" s="33">
        <f>IF($E14&lt;&gt;"Arbeit",0,ROUND(MIN(Настройки!$D$10,Настройки!$D$35)*($AK14*MIN($AN14,$AO14)+$AJ14*MIN(MAX($AN14,Настройки!$D$26),$AO14)+$AL14*MIN(Настройки!$D$26,Настройки!$D$33)+$AM14*MIN(Настройки!$D$23,Настройки!$D$32)),2))</f>
        <v/>
      </c>
      <c r="S14" s="33">
        <f>IF($E14&lt;&gt;"Arbeit",0,ROUND(MIN(Настройки!$D$10,Настройки!$D$36)*($AK14*MIN($AN14,$AO14)+$AJ14*MIN(MAX($AN14,Настройки!$D$26),$AO14)+$AL14*MIN(Настройки!$D$26,Настройки!$D$33)+$AM14*MIN(Настройки!$D$23,Настройки!$D$32)),2))</f>
        <v/>
      </c>
      <c r="T14" s="35">
        <f>IF(OR($W14="",$W13=""),"",24+$W14-$X13)</f>
        <v/>
      </c>
      <c r="U14" s="34">
        <f>IF($L14="","",TRIM(IF($L14&gt;10,"смена &gt;10 ч (§ 3 / § 6 ArbZG)  ","")&amp;IF(AND($T14&lt;&gt;"",$T14&lt;11),"отдых &lt;11 ч (§ 5 ArbZG)  ","")&amp;IF(AND($L14&gt;9,$J14&lt;0.75),"перерыв &lt;45 мин (§ 4 ArbZG)  ","")&amp;IF(AND($L14&gt;6,$L14&lt;=9,$J14&lt;0.5),"перерыв &lt;30 мин (§ 4 ArbZG)","")))</f>
        <v/>
      </c>
      <c r="W14">
        <f>IF($H14="","",$H14)</f>
        <v/>
      </c>
      <c r="X14">
        <f>IF($H14="","",$I14+IF($I14&lt;=$H14,24,0))</f>
        <v/>
      </c>
      <c r="Y14">
        <f>IF(OR($K14="",$K14=0),0,$L14/$K14)</f>
        <v/>
      </c>
      <c r="Z14">
        <f>IF($A14="",0,IF(WEEKDAY($A14,2)=7,1,0))</f>
        <v/>
      </c>
      <c r="AA14">
        <f>IF($A14="",0,IF(WEEKDAY($A14+1,2)=7,1,0))</f>
        <v/>
      </c>
      <c r="AB14">
        <f>IF($A14="",0,MIN(1,COUNTIF(Feiertage!$A$4:$A$43,$A14)))</f>
        <v/>
      </c>
      <c r="AC14">
        <f>IF($A14="",0,MIN(1,COUNTIF(Feiertage!$A$4:$A$43,$A14+1)))</f>
        <v/>
      </c>
      <c r="AD14">
        <f>IFERROR(INDEX(Feiertage!$D$4:$D$43,MATCH($A14,Feiertage!$A$4:$A$43,0)),Настройки!$D$34)</f>
        <v/>
      </c>
      <c r="AE14">
        <f>IFERROR(INDEX(Feiertage!$D$4:$D$43,MATCH($A14+1,Feiertage!$A$4:$A$43,0)),Настройки!$D$34)</f>
        <v/>
      </c>
      <c r="AF14">
        <f>IF($W14="",0,MAX(0,MIN($X14,Настройки!$D$25)-MAX($W14,0))+MAX(0,MIN($X14,24)-MAX($W14,Настройки!$D$24)))</f>
        <v/>
      </c>
      <c r="AG14">
        <f>IF($W14="",0,MAX(0,MIN($X14,24+Настройки!$D$25)-MAX($W14,24)))</f>
        <v/>
      </c>
      <c r="AH14">
        <f>IF($W14="",0,MAX(0,MIN($X14,24)-MAX($W14,0)))</f>
        <v/>
      </c>
      <c r="AI14">
        <f>IF($W14="",0,MAX(0,MIN($X14,48)-MAX($W14,24)))</f>
        <v/>
      </c>
      <c r="AJ14">
        <f>($Z14*$AB14*$AH14+$AA14*$AC14*$AI14)*$Y14</f>
        <v/>
      </c>
      <c r="AK14">
        <f>$O14-$AJ14</f>
        <v/>
      </c>
      <c r="AL14">
        <f>$N14-$AJ14</f>
        <v/>
      </c>
      <c r="AM14">
        <f>$M14-(MAX($Z14,$AB14)*$AF14+MAX($AA14,$AC14)*$AG14)*$Y14</f>
        <v/>
      </c>
      <c r="AN14">
        <f>IF($G14="j",Настройки!$D$27,IF($G14="n",Настройки!$D$28,IF(Настройки!$D$29="mit FZA",Настройки!$D$27,Настройки!$D$28)))</f>
        <v/>
      </c>
      <c r="AO14">
        <f>IF($O14=0,Настройки!$D$34,($AB14*$AH14*$AD14+$AC14*$AI14*$AE14)*$Y14/$O14)</f>
        <v/>
      </c>
    </row>
    <row r="15">
      <c r="A15" s="28">
        <f>IF(11&gt;Настройки!$D$6,"",DATE(Настройки!$D$4,Настройки!$D$5,11))</f>
        <v/>
      </c>
      <c r="B15" s="29">
        <f>IF($A15="","",CHOOSE(WEEKDAY($A15,2),"Пн","Вт","Ср","Чт","Пт","Сб","Вс"))</f>
        <v/>
      </c>
      <c r="C15" s="29">
        <f>IF($A15="","",IFERROR(INDEX(Feiertage!$B$4:$B$43,MATCH($A15,Feiertage!$A$4:$A$43,0)),""))</f>
        <v/>
      </c>
      <c r="D15" s="30" t="inlineStr">
        <is>
          <t>TD</t>
        </is>
      </c>
      <c r="E15" s="30" t="inlineStr">
        <is>
          <t>Arbeit</t>
        </is>
      </c>
      <c r="F15" s="30" t="inlineStr"/>
      <c r="G15" s="30" t="inlineStr"/>
      <c r="H15" s="31">
        <f>IF($D15="ND",Настройки!$D$42,IF($D15="TD",Настройки!$D$39,""))</f>
        <v/>
      </c>
      <c r="I15" s="31">
        <f>IF($D15="ND",Настройки!$D$43,IF($D15="TD",Настройки!$D$40,""))</f>
        <v/>
      </c>
      <c r="J15" s="31">
        <f>IF($D15="ND",Настройки!$D$44,IF($D15="TD",Настройки!$D$41,""))</f>
        <v/>
      </c>
      <c r="K15" s="32">
        <f>IF($H15="","",$I15-$H15+IF($I15&lt;=$H15,24,0))</f>
        <v/>
      </c>
      <c r="L15" s="32">
        <f>IF($K15="","",MAX(0,$K15-$J15))</f>
        <v/>
      </c>
      <c r="M15" s="32">
        <f>($AF15+$AG15)*$Y15</f>
        <v/>
      </c>
      <c r="N15" s="32">
        <f>($Z15*$AH15+$AA15*$AI15)*$Y15</f>
        <v/>
      </c>
      <c r="O15" s="32">
        <f>($AB15*$AH15+$AC15*$AI15)*$Y15</f>
        <v/>
      </c>
      <c r="P15" s="32">
        <f>IF($L15="","",MAX(0,$L15-$O15-$AL15-$AM15))</f>
        <v/>
      </c>
      <c r="Q15" s="33">
        <f>ROUND(Настройки!$D$10*($AK15*$AN15+$AJ15*MAX($AN15,Настройки!$D$26)+$AL15*Настройки!$D$26+$AM15*Настройки!$D$23),2)</f>
        <v/>
      </c>
      <c r="R15" s="33">
        <f>IF($E15&lt;&gt;"Arbeit",0,ROUND(MIN(Настройки!$D$10,Настройки!$D$35)*($AK15*MIN($AN15,$AO15)+$AJ15*MIN(MAX($AN15,Настройки!$D$26),$AO15)+$AL15*MIN(Настройки!$D$26,Настройки!$D$33)+$AM15*MIN(Настройки!$D$23,Настройки!$D$32)),2))</f>
        <v/>
      </c>
      <c r="S15" s="33">
        <f>IF($E15&lt;&gt;"Arbeit",0,ROUND(MIN(Настройки!$D$10,Настройки!$D$36)*($AK15*MIN($AN15,$AO15)+$AJ15*MIN(MAX($AN15,Настройки!$D$26),$AO15)+$AL15*MIN(Настройки!$D$26,Настройки!$D$33)+$AM15*MIN(Настройки!$D$23,Настройки!$D$32)),2))</f>
        <v/>
      </c>
      <c r="T15" s="35">
        <f>IF(OR($W15="",$W14=""),"",24+$W15-$X14)</f>
        <v/>
      </c>
      <c r="U15" s="34">
        <f>IF($L15="","",TRIM(IF($L15&gt;10,"смена &gt;10 ч (§ 3 / § 6 ArbZG)  ","")&amp;IF(AND($T15&lt;&gt;"",$T15&lt;11),"отдых &lt;11 ч (§ 5 ArbZG)  ","")&amp;IF(AND($L15&gt;9,$J15&lt;0.75),"перерыв &lt;45 мин (§ 4 ArbZG)  ","")&amp;IF(AND($L15&gt;6,$L15&lt;=9,$J15&lt;0.5),"перерыв &lt;30 мин (§ 4 ArbZG)","")))</f>
        <v/>
      </c>
      <c r="W15">
        <f>IF($H15="","",$H15)</f>
        <v/>
      </c>
      <c r="X15">
        <f>IF($H15="","",$I15+IF($I15&lt;=$H15,24,0))</f>
        <v/>
      </c>
      <c r="Y15">
        <f>IF(OR($K15="",$K15=0),0,$L15/$K15)</f>
        <v/>
      </c>
      <c r="Z15">
        <f>IF($A15="",0,IF(WEEKDAY($A15,2)=7,1,0))</f>
        <v/>
      </c>
      <c r="AA15">
        <f>IF($A15="",0,IF(WEEKDAY($A15+1,2)=7,1,0))</f>
        <v/>
      </c>
      <c r="AB15">
        <f>IF($A15="",0,MIN(1,COUNTIF(Feiertage!$A$4:$A$43,$A15)))</f>
        <v/>
      </c>
      <c r="AC15">
        <f>IF($A15="",0,MIN(1,COUNTIF(Feiertage!$A$4:$A$43,$A15+1)))</f>
        <v/>
      </c>
      <c r="AD15">
        <f>IFERROR(INDEX(Feiertage!$D$4:$D$43,MATCH($A15,Feiertage!$A$4:$A$43,0)),Настройки!$D$34)</f>
        <v/>
      </c>
      <c r="AE15">
        <f>IFERROR(INDEX(Feiertage!$D$4:$D$43,MATCH($A15+1,Feiertage!$A$4:$A$43,0)),Настройки!$D$34)</f>
        <v/>
      </c>
      <c r="AF15">
        <f>IF($W15="",0,MAX(0,MIN($X15,Настройки!$D$25)-MAX($W15,0))+MAX(0,MIN($X15,24)-MAX($W15,Настройки!$D$24)))</f>
        <v/>
      </c>
      <c r="AG15">
        <f>IF($W15="",0,MAX(0,MIN($X15,24+Настройки!$D$25)-MAX($W15,24)))</f>
        <v/>
      </c>
      <c r="AH15">
        <f>IF($W15="",0,MAX(0,MIN($X15,24)-MAX($W15,0)))</f>
        <v/>
      </c>
      <c r="AI15">
        <f>IF($W15="",0,MAX(0,MIN($X15,48)-MAX($W15,24)))</f>
        <v/>
      </c>
      <c r="AJ15">
        <f>($Z15*$AB15*$AH15+$AA15*$AC15*$AI15)*$Y15</f>
        <v/>
      </c>
      <c r="AK15">
        <f>$O15-$AJ15</f>
        <v/>
      </c>
      <c r="AL15">
        <f>$N15-$AJ15</f>
        <v/>
      </c>
      <c r="AM15">
        <f>$M15-(MAX($Z15,$AB15)*$AF15+MAX($AA15,$AC15)*$AG15)*$Y15</f>
        <v/>
      </c>
      <c r="AN15">
        <f>IF($G15="j",Настройки!$D$27,IF($G15="n",Настройки!$D$28,IF(Настройки!$D$29="mit FZA",Настройки!$D$27,Настройки!$D$28)))</f>
        <v/>
      </c>
      <c r="AO15">
        <f>IF($O15=0,Настройки!$D$34,($AB15*$AH15*$AD15+$AC15*$AI15*$AE15)*$Y15/$O15)</f>
        <v/>
      </c>
    </row>
    <row r="16">
      <c r="A16" s="28">
        <f>IF(12&gt;Настройки!$D$6,"",DATE(Настройки!$D$4,Настройки!$D$5,12))</f>
        <v/>
      </c>
      <c r="B16" s="29">
        <f>IF($A16="","",CHOOSE(WEEKDAY($A16,2),"Пн","Вт","Ср","Чт","Пт","Сб","Вс"))</f>
        <v/>
      </c>
      <c r="C16" s="29">
        <f>IF($A16="","",IFERROR(INDEX(Feiertage!$B$4:$B$43,MATCH($A16,Feiertage!$A$4:$A$43,0)),""))</f>
        <v/>
      </c>
      <c r="D16" s="30" t="inlineStr">
        <is>
          <t>TD</t>
        </is>
      </c>
      <c r="E16" s="30" t="inlineStr">
        <is>
          <t>Arbeit</t>
        </is>
      </c>
      <c r="F16" s="30" t="inlineStr"/>
      <c r="G16" s="30" t="inlineStr"/>
      <c r="H16" s="31">
        <f>IF($D16="ND",Настройки!$D$42,IF($D16="TD",Настройки!$D$39,""))</f>
        <v/>
      </c>
      <c r="I16" s="31">
        <f>IF($D16="ND",Настройки!$D$43,IF($D16="TD",Настройки!$D$40,""))</f>
        <v/>
      </c>
      <c r="J16" s="31">
        <f>IF($D16="ND",Настройки!$D$44,IF($D16="TD",Настройки!$D$41,""))</f>
        <v/>
      </c>
      <c r="K16" s="32">
        <f>IF($H16="","",$I16-$H16+IF($I16&lt;=$H16,24,0))</f>
        <v/>
      </c>
      <c r="L16" s="32">
        <f>IF($K16="","",MAX(0,$K16-$J16))</f>
        <v/>
      </c>
      <c r="M16" s="32">
        <f>($AF16+$AG16)*$Y16</f>
        <v/>
      </c>
      <c r="N16" s="32">
        <f>($Z16*$AH16+$AA16*$AI16)*$Y16</f>
        <v/>
      </c>
      <c r="O16" s="32">
        <f>($AB16*$AH16+$AC16*$AI16)*$Y16</f>
        <v/>
      </c>
      <c r="P16" s="32">
        <f>IF($L16="","",MAX(0,$L16-$O16-$AL16-$AM16))</f>
        <v/>
      </c>
      <c r="Q16" s="33">
        <f>ROUND(Настройки!$D$10*($AK16*$AN16+$AJ16*MAX($AN16,Настройки!$D$26)+$AL16*Настройки!$D$26+$AM16*Настройки!$D$23),2)</f>
        <v/>
      </c>
      <c r="R16" s="33">
        <f>IF($E16&lt;&gt;"Arbeit",0,ROUND(MIN(Настройки!$D$10,Настройки!$D$35)*($AK16*MIN($AN16,$AO16)+$AJ16*MIN(MAX($AN16,Настройки!$D$26),$AO16)+$AL16*MIN(Настройки!$D$26,Настройки!$D$33)+$AM16*MIN(Настройки!$D$23,Настройки!$D$32)),2))</f>
        <v/>
      </c>
      <c r="S16" s="33">
        <f>IF($E16&lt;&gt;"Arbeit",0,ROUND(MIN(Настройки!$D$10,Настройки!$D$36)*($AK16*MIN($AN16,$AO16)+$AJ16*MIN(MAX($AN16,Настройки!$D$26),$AO16)+$AL16*MIN(Настройки!$D$26,Настройки!$D$33)+$AM16*MIN(Настройки!$D$23,Настройки!$D$32)),2))</f>
        <v/>
      </c>
      <c r="T16" s="35">
        <f>IF(OR($W16="",$W15=""),"",24+$W16-$X15)</f>
        <v/>
      </c>
      <c r="U16" s="34">
        <f>IF($L16="","",TRIM(IF($L16&gt;10,"смена &gt;10 ч (§ 3 / § 6 ArbZG)  ","")&amp;IF(AND($T16&lt;&gt;"",$T16&lt;11),"отдых &lt;11 ч (§ 5 ArbZG)  ","")&amp;IF(AND($L16&gt;9,$J16&lt;0.75),"перерыв &lt;45 мин (§ 4 ArbZG)  ","")&amp;IF(AND($L16&gt;6,$L16&lt;=9,$J16&lt;0.5),"перерыв &lt;30 мин (§ 4 ArbZG)","")))</f>
        <v/>
      </c>
      <c r="W16">
        <f>IF($H16="","",$H16)</f>
        <v/>
      </c>
      <c r="X16">
        <f>IF($H16="","",$I16+IF($I16&lt;=$H16,24,0))</f>
        <v/>
      </c>
      <c r="Y16">
        <f>IF(OR($K16="",$K16=0),0,$L16/$K16)</f>
        <v/>
      </c>
      <c r="Z16">
        <f>IF($A16="",0,IF(WEEKDAY($A16,2)=7,1,0))</f>
        <v/>
      </c>
      <c r="AA16">
        <f>IF($A16="",0,IF(WEEKDAY($A16+1,2)=7,1,0))</f>
        <v/>
      </c>
      <c r="AB16">
        <f>IF($A16="",0,MIN(1,COUNTIF(Feiertage!$A$4:$A$43,$A16)))</f>
        <v/>
      </c>
      <c r="AC16">
        <f>IF($A16="",0,MIN(1,COUNTIF(Feiertage!$A$4:$A$43,$A16+1)))</f>
        <v/>
      </c>
      <c r="AD16">
        <f>IFERROR(INDEX(Feiertage!$D$4:$D$43,MATCH($A16,Feiertage!$A$4:$A$43,0)),Настройки!$D$34)</f>
        <v/>
      </c>
      <c r="AE16">
        <f>IFERROR(INDEX(Feiertage!$D$4:$D$43,MATCH($A16+1,Feiertage!$A$4:$A$43,0)),Настройки!$D$34)</f>
        <v/>
      </c>
      <c r="AF16">
        <f>IF($W16="",0,MAX(0,MIN($X16,Настройки!$D$25)-MAX($W16,0))+MAX(0,MIN($X16,24)-MAX($W16,Настройки!$D$24)))</f>
        <v/>
      </c>
      <c r="AG16">
        <f>IF($W16="",0,MAX(0,MIN($X16,24+Настройки!$D$25)-MAX($W16,24)))</f>
        <v/>
      </c>
      <c r="AH16">
        <f>IF($W16="",0,MAX(0,MIN($X16,24)-MAX($W16,0)))</f>
        <v/>
      </c>
      <c r="AI16">
        <f>IF($W16="",0,MAX(0,MIN($X16,48)-MAX($W16,24)))</f>
        <v/>
      </c>
      <c r="AJ16">
        <f>($Z16*$AB16*$AH16+$AA16*$AC16*$AI16)*$Y16</f>
        <v/>
      </c>
      <c r="AK16">
        <f>$O16-$AJ16</f>
        <v/>
      </c>
      <c r="AL16">
        <f>$N16-$AJ16</f>
        <v/>
      </c>
      <c r="AM16">
        <f>$M16-(MAX($Z16,$AB16)*$AF16+MAX($AA16,$AC16)*$AG16)*$Y16</f>
        <v/>
      </c>
      <c r="AN16">
        <f>IF($G16="j",Настройки!$D$27,IF($G16="n",Настройки!$D$28,IF(Настройки!$D$29="mit FZA",Настройки!$D$27,Настройки!$D$28)))</f>
        <v/>
      </c>
      <c r="AO16">
        <f>IF($O16=0,Настройки!$D$34,($AB16*$AH16*$AD16+$AC16*$AI16*$AE16)*$Y16/$O16)</f>
        <v/>
      </c>
    </row>
    <row r="17">
      <c r="A17" s="28">
        <f>IF(13&gt;Настройки!$D$6,"",DATE(Настройки!$D$4,Настройки!$D$5,13))</f>
        <v/>
      </c>
      <c r="B17" s="29">
        <f>IF($A17="","",CHOOSE(WEEKDAY($A17,2),"Пн","Вт","Ср","Чт","Пт","Сб","Вс"))</f>
        <v/>
      </c>
      <c r="C17" s="29">
        <f>IF($A17="","",IFERROR(INDEX(Feiertage!$B$4:$B$43,MATCH($A17,Feiertage!$A$4:$A$43,0)),""))</f>
        <v/>
      </c>
      <c r="D17" s="30" t="inlineStr">
        <is>
          <t>TD</t>
        </is>
      </c>
      <c r="E17" s="30" t="inlineStr">
        <is>
          <t>Arbeit</t>
        </is>
      </c>
      <c r="F17" s="30" t="inlineStr"/>
      <c r="G17" s="30" t="inlineStr"/>
      <c r="H17" s="31">
        <f>IF($D17="ND",Настройки!$D$42,IF($D17="TD",Настройки!$D$39,""))</f>
        <v/>
      </c>
      <c r="I17" s="31">
        <f>IF($D17="ND",Настройки!$D$43,IF($D17="TD",Настройки!$D$40,""))</f>
        <v/>
      </c>
      <c r="J17" s="31">
        <f>IF($D17="ND",Настройки!$D$44,IF($D17="TD",Настройки!$D$41,""))</f>
        <v/>
      </c>
      <c r="K17" s="32">
        <f>IF($H17="","",$I17-$H17+IF($I17&lt;=$H17,24,0))</f>
        <v/>
      </c>
      <c r="L17" s="32">
        <f>IF($K17="","",MAX(0,$K17-$J17))</f>
        <v/>
      </c>
      <c r="M17" s="32">
        <f>($AF17+$AG17)*$Y17</f>
        <v/>
      </c>
      <c r="N17" s="32">
        <f>($Z17*$AH17+$AA17*$AI17)*$Y17</f>
        <v/>
      </c>
      <c r="O17" s="32">
        <f>($AB17*$AH17+$AC17*$AI17)*$Y17</f>
        <v/>
      </c>
      <c r="P17" s="32">
        <f>IF($L17="","",MAX(0,$L17-$O17-$AL17-$AM17))</f>
        <v/>
      </c>
      <c r="Q17" s="33">
        <f>ROUND(Настройки!$D$10*($AK17*$AN17+$AJ17*MAX($AN17,Настройки!$D$26)+$AL17*Настройки!$D$26+$AM17*Настройки!$D$23),2)</f>
        <v/>
      </c>
      <c r="R17" s="33">
        <f>IF($E17&lt;&gt;"Arbeit",0,ROUND(MIN(Настройки!$D$10,Настройки!$D$35)*($AK17*MIN($AN17,$AO17)+$AJ17*MIN(MAX($AN17,Настройки!$D$26),$AO17)+$AL17*MIN(Настройки!$D$26,Настройки!$D$33)+$AM17*MIN(Настройки!$D$23,Настройки!$D$32)),2))</f>
        <v/>
      </c>
      <c r="S17" s="33">
        <f>IF($E17&lt;&gt;"Arbeit",0,ROUND(MIN(Настройки!$D$10,Настройки!$D$36)*($AK17*MIN($AN17,$AO17)+$AJ17*MIN(MAX($AN17,Настройки!$D$26),$AO17)+$AL17*MIN(Настройки!$D$26,Настройки!$D$33)+$AM17*MIN(Настройки!$D$23,Настройки!$D$32)),2))</f>
        <v/>
      </c>
      <c r="T17" s="35">
        <f>IF(OR($W17="",$W16=""),"",24+$W17-$X16)</f>
        <v/>
      </c>
      <c r="U17" s="34">
        <f>IF($L17="","",TRIM(IF($L17&gt;10,"смена &gt;10 ч (§ 3 / § 6 ArbZG)  ","")&amp;IF(AND($T17&lt;&gt;"",$T17&lt;11),"отдых &lt;11 ч (§ 5 ArbZG)  ","")&amp;IF(AND($L17&gt;9,$J17&lt;0.75),"перерыв &lt;45 мин (§ 4 ArbZG)  ","")&amp;IF(AND($L17&gt;6,$L17&lt;=9,$J17&lt;0.5),"перерыв &lt;30 мин (§ 4 ArbZG)","")))</f>
        <v/>
      </c>
      <c r="W17">
        <f>IF($H17="","",$H17)</f>
        <v/>
      </c>
      <c r="X17">
        <f>IF($H17="","",$I17+IF($I17&lt;=$H17,24,0))</f>
        <v/>
      </c>
      <c r="Y17">
        <f>IF(OR($K17="",$K17=0),0,$L17/$K17)</f>
        <v/>
      </c>
      <c r="Z17">
        <f>IF($A17="",0,IF(WEEKDAY($A17,2)=7,1,0))</f>
        <v/>
      </c>
      <c r="AA17">
        <f>IF($A17="",0,IF(WEEKDAY($A17+1,2)=7,1,0))</f>
        <v/>
      </c>
      <c r="AB17">
        <f>IF($A17="",0,MIN(1,COUNTIF(Feiertage!$A$4:$A$43,$A17)))</f>
        <v/>
      </c>
      <c r="AC17">
        <f>IF($A17="",0,MIN(1,COUNTIF(Feiertage!$A$4:$A$43,$A17+1)))</f>
        <v/>
      </c>
      <c r="AD17">
        <f>IFERROR(INDEX(Feiertage!$D$4:$D$43,MATCH($A17,Feiertage!$A$4:$A$43,0)),Настройки!$D$34)</f>
        <v/>
      </c>
      <c r="AE17">
        <f>IFERROR(INDEX(Feiertage!$D$4:$D$43,MATCH($A17+1,Feiertage!$A$4:$A$43,0)),Настройки!$D$34)</f>
        <v/>
      </c>
      <c r="AF17">
        <f>IF($W17="",0,MAX(0,MIN($X17,Настройки!$D$25)-MAX($W17,0))+MAX(0,MIN($X17,24)-MAX($W17,Настройки!$D$24)))</f>
        <v/>
      </c>
      <c r="AG17">
        <f>IF($W17="",0,MAX(0,MIN($X17,24+Настройки!$D$25)-MAX($W17,24)))</f>
        <v/>
      </c>
      <c r="AH17">
        <f>IF($W17="",0,MAX(0,MIN($X17,24)-MAX($W17,0)))</f>
        <v/>
      </c>
      <c r="AI17">
        <f>IF($W17="",0,MAX(0,MIN($X17,48)-MAX($W17,24)))</f>
        <v/>
      </c>
      <c r="AJ17">
        <f>($Z17*$AB17*$AH17+$AA17*$AC17*$AI17)*$Y17</f>
        <v/>
      </c>
      <c r="AK17">
        <f>$O17-$AJ17</f>
        <v/>
      </c>
      <c r="AL17">
        <f>$N17-$AJ17</f>
        <v/>
      </c>
      <c r="AM17">
        <f>$M17-(MAX($Z17,$AB17)*$AF17+MAX($AA17,$AC17)*$AG17)*$Y17</f>
        <v/>
      </c>
      <c r="AN17">
        <f>IF($G17="j",Настройки!$D$27,IF($G17="n",Настройки!$D$28,IF(Настройки!$D$29="mit FZA",Настройки!$D$27,Настройки!$D$28)))</f>
        <v/>
      </c>
      <c r="AO17">
        <f>IF($O17=0,Настройки!$D$34,($AB17*$AH17*$AD17+$AC17*$AI17*$AE17)*$Y17/$O17)</f>
        <v/>
      </c>
    </row>
    <row r="18">
      <c r="A18" s="28">
        <f>IF(14&gt;Настройки!$D$6,"",DATE(Настройки!$D$4,Настройки!$D$5,14))</f>
        <v/>
      </c>
      <c r="B18" s="29">
        <f>IF($A18="","",CHOOSE(WEEKDAY($A18,2),"Пн","Вт","Ср","Чт","Пт","Сб","Вс"))</f>
        <v/>
      </c>
      <c r="C18" s="29">
        <f>IF($A18="","",IFERROR(INDEX(Feiertage!$B$4:$B$43,MATCH($A18,Feiertage!$A$4:$A$43,0)),""))</f>
        <v/>
      </c>
      <c r="D18" s="30" t="inlineStr">
        <is>
          <t>TD</t>
        </is>
      </c>
      <c r="E18" s="30" t="inlineStr">
        <is>
          <t>Arbeit</t>
        </is>
      </c>
      <c r="F18" s="30" t="inlineStr"/>
      <c r="G18" s="30" t="inlineStr"/>
      <c r="H18" s="31">
        <f>IF($D18="ND",Настройки!$D$42,IF($D18="TD",Настройки!$D$39,""))</f>
        <v/>
      </c>
      <c r="I18" s="31">
        <f>IF($D18="ND",Настройки!$D$43,IF($D18="TD",Настройки!$D$40,""))</f>
        <v/>
      </c>
      <c r="J18" s="31">
        <f>IF($D18="ND",Настройки!$D$44,IF($D18="TD",Настройки!$D$41,""))</f>
        <v/>
      </c>
      <c r="K18" s="32">
        <f>IF($H18="","",$I18-$H18+IF($I18&lt;=$H18,24,0))</f>
        <v/>
      </c>
      <c r="L18" s="32">
        <f>IF($K18="","",MAX(0,$K18-$J18))</f>
        <v/>
      </c>
      <c r="M18" s="32">
        <f>($AF18+$AG18)*$Y18</f>
        <v/>
      </c>
      <c r="N18" s="32">
        <f>($Z18*$AH18+$AA18*$AI18)*$Y18</f>
        <v/>
      </c>
      <c r="O18" s="32">
        <f>($AB18*$AH18+$AC18*$AI18)*$Y18</f>
        <v/>
      </c>
      <c r="P18" s="32">
        <f>IF($L18="","",MAX(0,$L18-$O18-$AL18-$AM18))</f>
        <v/>
      </c>
      <c r="Q18" s="33">
        <f>ROUND(Настройки!$D$10*($AK18*$AN18+$AJ18*MAX($AN18,Настройки!$D$26)+$AL18*Настройки!$D$26+$AM18*Настройки!$D$23),2)</f>
        <v/>
      </c>
      <c r="R18" s="33">
        <f>IF($E18&lt;&gt;"Arbeit",0,ROUND(MIN(Настройки!$D$10,Настройки!$D$35)*($AK18*MIN($AN18,$AO18)+$AJ18*MIN(MAX($AN18,Настройки!$D$26),$AO18)+$AL18*MIN(Настройки!$D$26,Настройки!$D$33)+$AM18*MIN(Настройки!$D$23,Настройки!$D$32)),2))</f>
        <v/>
      </c>
      <c r="S18" s="33">
        <f>IF($E18&lt;&gt;"Arbeit",0,ROUND(MIN(Настройки!$D$10,Настройки!$D$36)*($AK18*MIN($AN18,$AO18)+$AJ18*MIN(MAX($AN18,Настройки!$D$26),$AO18)+$AL18*MIN(Настройки!$D$26,Настройки!$D$33)+$AM18*MIN(Настройки!$D$23,Настройки!$D$32)),2))</f>
        <v/>
      </c>
      <c r="T18" s="35">
        <f>IF(OR($W18="",$W17=""),"",24+$W18-$X17)</f>
        <v/>
      </c>
      <c r="U18" s="34">
        <f>IF($L18="","",TRIM(IF($L18&gt;10,"смена &gt;10 ч (§ 3 / § 6 ArbZG)  ","")&amp;IF(AND($T18&lt;&gt;"",$T18&lt;11),"отдых &lt;11 ч (§ 5 ArbZG)  ","")&amp;IF(AND($L18&gt;9,$J18&lt;0.75),"перерыв &lt;45 мин (§ 4 ArbZG)  ","")&amp;IF(AND($L18&gt;6,$L18&lt;=9,$J18&lt;0.5),"перерыв &lt;30 мин (§ 4 ArbZG)","")))</f>
        <v/>
      </c>
      <c r="W18">
        <f>IF($H18="","",$H18)</f>
        <v/>
      </c>
      <c r="X18">
        <f>IF($H18="","",$I18+IF($I18&lt;=$H18,24,0))</f>
        <v/>
      </c>
      <c r="Y18">
        <f>IF(OR($K18="",$K18=0),0,$L18/$K18)</f>
        <v/>
      </c>
      <c r="Z18">
        <f>IF($A18="",0,IF(WEEKDAY($A18,2)=7,1,0))</f>
        <v/>
      </c>
      <c r="AA18">
        <f>IF($A18="",0,IF(WEEKDAY($A18+1,2)=7,1,0))</f>
        <v/>
      </c>
      <c r="AB18">
        <f>IF($A18="",0,MIN(1,COUNTIF(Feiertage!$A$4:$A$43,$A18)))</f>
        <v/>
      </c>
      <c r="AC18">
        <f>IF($A18="",0,MIN(1,COUNTIF(Feiertage!$A$4:$A$43,$A18+1)))</f>
        <v/>
      </c>
      <c r="AD18">
        <f>IFERROR(INDEX(Feiertage!$D$4:$D$43,MATCH($A18,Feiertage!$A$4:$A$43,0)),Настройки!$D$34)</f>
        <v/>
      </c>
      <c r="AE18">
        <f>IFERROR(INDEX(Feiertage!$D$4:$D$43,MATCH($A18+1,Feiertage!$A$4:$A$43,0)),Настройки!$D$34)</f>
        <v/>
      </c>
      <c r="AF18">
        <f>IF($W18="",0,MAX(0,MIN($X18,Настройки!$D$25)-MAX($W18,0))+MAX(0,MIN($X18,24)-MAX($W18,Настройки!$D$24)))</f>
        <v/>
      </c>
      <c r="AG18">
        <f>IF($W18="",0,MAX(0,MIN($X18,24+Настройки!$D$25)-MAX($W18,24)))</f>
        <v/>
      </c>
      <c r="AH18">
        <f>IF($W18="",0,MAX(0,MIN($X18,24)-MAX($W18,0)))</f>
        <v/>
      </c>
      <c r="AI18">
        <f>IF($W18="",0,MAX(0,MIN($X18,48)-MAX($W18,24)))</f>
        <v/>
      </c>
      <c r="AJ18">
        <f>($Z18*$AB18*$AH18+$AA18*$AC18*$AI18)*$Y18</f>
        <v/>
      </c>
      <c r="AK18">
        <f>$O18-$AJ18</f>
        <v/>
      </c>
      <c r="AL18">
        <f>$N18-$AJ18</f>
        <v/>
      </c>
      <c r="AM18">
        <f>$M18-(MAX($Z18,$AB18)*$AF18+MAX($AA18,$AC18)*$AG18)*$Y18</f>
        <v/>
      </c>
      <c r="AN18">
        <f>IF($G18="j",Настройки!$D$27,IF($G18="n",Настройки!$D$28,IF(Настройки!$D$29="mit FZA",Настройки!$D$27,Настройки!$D$28)))</f>
        <v/>
      </c>
      <c r="AO18">
        <f>IF($O18=0,Настройки!$D$34,($AB18*$AH18*$AD18+$AC18*$AI18*$AE18)*$Y18/$O18)</f>
        <v/>
      </c>
    </row>
    <row r="19">
      <c r="A19" s="28">
        <f>IF(15&gt;Настройки!$D$6,"",DATE(Настройки!$D$4,Настройки!$D$5,15))</f>
        <v/>
      </c>
      <c r="B19" s="29">
        <f>IF($A19="","",CHOOSE(WEEKDAY($A19,2),"Пн","Вт","Ср","Чт","Пт","Сб","Вс"))</f>
        <v/>
      </c>
      <c r="C19" s="29">
        <f>IF($A19="","",IFERROR(INDEX(Feiertage!$B$4:$B$43,MATCH($A19,Feiertage!$A$4:$A$43,0)),""))</f>
        <v/>
      </c>
      <c r="D19" s="30" t="inlineStr">
        <is>
          <t>FREI</t>
        </is>
      </c>
      <c r="E19" s="30" t="inlineStr"/>
      <c r="F19" s="30" t="inlineStr"/>
      <c r="G19" s="30" t="inlineStr"/>
      <c r="H19" s="31">
        <f>IF($D19="ND",Настройки!$D$42,IF($D19="TD",Настройки!$D$39,""))</f>
        <v/>
      </c>
      <c r="I19" s="31">
        <f>IF($D19="ND",Настройки!$D$43,IF($D19="TD",Настройки!$D$40,""))</f>
        <v/>
      </c>
      <c r="J19" s="31">
        <f>IF($D19="ND",Настройки!$D$44,IF($D19="TD",Настройки!$D$41,""))</f>
        <v/>
      </c>
      <c r="K19" s="32">
        <f>IF($H19="","",$I19-$H19+IF($I19&lt;=$H19,24,0))</f>
        <v/>
      </c>
      <c r="L19" s="32">
        <f>IF($K19="","",MAX(0,$K19-$J19))</f>
        <v/>
      </c>
      <c r="M19" s="32">
        <f>($AF19+$AG19)*$Y19</f>
        <v/>
      </c>
      <c r="N19" s="32">
        <f>($Z19*$AH19+$AA19*$AI19)*$Y19</f>
        <v/>
      </c>
      <c r="O19" s="32">
        <f>($AB19*$AH19+$AC19*$AI19)*$Y19</f>
        <v/>
      </c>
      <c r="P19" s="32">
        <f>IF($L19="","",MAX(0,$L19-$O19-$AL19-$AM19))</f>
        <v/>
      </c>
      <c r="Q19" s="33">
        <f>ROUND(Настройки!$D$10*($AK19*$AN19+$AJ19*MAX($AN19,Настройки!$D$26)+$AL19*Настройки!$D$26+$AM19*Настройки!$D$23),2)</f>
        <v/>
      </c>
      <c r="R19" s="33">
        <f>IF($E19&lt;&gt;"Arbeit",0,ROUND(MIN(Настройки!$D$10,Настройки!$D$35)*($AK19*MIN($AN19,$AO19)+$AJ19*MIN(MAX($AN19,Настройки!$D$26),$AO19)+$AL19*MIN(Настройки!$D$26,Настройки!$D$33)+$AM19*MIN(Настройки!$D$23,Настройки!$D$32)),2))</f>
        <v/>
      </c>
      <c r="S19" s="33">
        <f>IF($E19&lt;&gt;"Arbeit",0,ROUND(MIN(Настройки!$D$10,Настройки!$D$36)*($AK19*MIN($AN19,$AO19)+$AJ19*MIN(MAX($AN19,Настройки!$D$26),$AO19)+$AL19*MIN(Настройки!$D$26,Настройки!$D$33)+$AM19*MIN(Настройки!$D$23,Настройки!$D$32)),2))</f>
        <v/>
      </c>
      <c r="T19" s="35">
        <f>IF(OR($W19="",$W18=""),"",24+$W19-$X18)</f>
        <v/>
      </c>
      <c r="U19" s="34">
        <f>IF($L19="","",TRIM(IF($L19&gt;10,"смена &gt;10 ч (§ 3 / § 6 ArbZG)  ","")&amp;IF(AND($T19&lt;&gt;"",$T19&lt;11),"отдых &lt;11 ч (§ 5 ArbZG)  ","")&amp;IF(AND($L19&gt;9,$J19&lt;0.75),"перерыв &lt;45 мин (§ 4 ArbZG)  ","")&amp;IF(AND($L19&gt;6,$L19&lt;=9,$J19&lt;0.5),"перерыв &lt;30 мин (§ 4 ArbZG)","")))</f>
        <v/>
      </c>
      <c r="W19">
        <f>IF($H19="","",$H19)</f>
        <v/>
      </c>
      <c r="X19">
        <f>IF($H19="","",$I19+IF($I19&lt;=$H19,24,0))</f>
        <v/>
      </c>
      <c r="Y19">
        <f>IF(OR($K19="",$K19=0),0,$L19/$K19)</f>
        <v/>
      </c>
      <c r="Z19">
        <f>IF($A19="",0,IF(WEEKDAY($A19,2)=7,1,0))</f>
        <v/>
      </c>
      <c r="AA19">
        <f>IF($A19="",0,IF(WEEKDAY($A19+1,2)=7,1,0))</f>
        <v/>
      </c>
      <c r="AB19">
        <f>IF($A19="",0,MIN(1,COUNTIF(Feiertage!$A$4:$A$43,$A19)))</f>
        <v/>
      </c>
      <c r="AC19">
        <f>IF($A19="",0,MIN(1,COUNTIF(Feiertage!$A$4:$A$43,$A19+1)))</f>
        <v/>
      </c>
      <c r="AD19">
        <f>IFERROR(INDEX(Feiertage!$D$4:$D$43,MATCH($A19,Feiertage!$A$4:$A$43,0)),Настройки!$D$34)</f>
        <v/>
      </c>
      <c r="AE19">
        <f>IFERROR(INDEX(Feiertage!$D$4:$D$43,MATCH($A19+1,Feiertage!$A$4:$A$43,0)),Настройки!$D$34)</f>
        <v/>
      </c>
      <c r="AF19">
        <f>IF($W19="",0,MAX(0,MIN($X19,Настройки!$D$25)-MAX($W19,0))+MAX(0,MIN($X19,24)-MAX($W19,Настройки!$D$24)))</f>
        <v/>
      </c>
      <c r="AG19">
        <f>IF($W19="",0,MAX(0,MIN($X19,24+Настройки!$D$25)-MAX($W19,24)))</f>
        <v/>
      </c>
      <c r="AH19">
        <f>IF($W19="",0,MAX(0,MIN($X19,24)-MAX($W19,0)))</f>
        <v/>
      </c>
      <c r="AI19">
        <f>IF($W19="",0,MAX(0,MIN($X19,48)-MAX($W19,24)))</f>
        <v/>
      </c>
      <c r="AJ19">
        <f>($Z19*$AB19*$AH19+$AA19*$AC19*$AI19)*$Y19</f>
        <v/>
      </c>
      <c r="AK19">
        <f>$O19-$AJ19</f>
        <v/>
      </c>
      <c r="AL19">
        <f>$N19-$AJ19</f>
        <v/>
      </c>
      <c r="AM19">
        <f>$M19-(MAX($Z19,$AB19)*$AF19+MAX($AA19,$AC19)*$AG19)*$Y19</f>
        <v/>
      </c>
      <c r="AN19">
        <f>IF($G19="j",Настройки!$D$27,IF($G19="n",Настройки!$D$28,IF(Настройки!$D$29="mit FZA",Настройки!$D$27,Настройки!$D$28)))</f>
        <v/>
      </c>
      <c r="AO19">
        <f>IF($O19=0,Настройки!$D$34,($AB19*$AH19*$AD19+$AC19*$AI19*$AE19)*$Y19/$O19)</f>
        <v/>
      </c>
    </row>
    <row r="20">
      <c r="A20" s="28">
        <f>IF(16&gt;Настройки!$D$6,"",DATE(Настройки!$D$4,Настройки!$D$5,16))</f>
        <v/>
      </c>
      <c r="B20" s="29">
        <f>IF($A20="","",CHOOSE(WEEKDAY($A20,2),"Пн","Вт","Ср","Чт","Пт","Сб","Вс"))</f>
        <v/>
      </c>
      <c r="C20" s="29">
        <f>IF($A20="","",IFERROR(INDEX(Feiertage!$B$4:$B$43,MATCH($A20,Feiertage!$A$4:$A$43,0)),""))</f>
        <v/>
      </c>
      <c r="D20" s="30" t="inlineStr">
        <is>
          <t>FREI</t>
        </is>
      </c>
      <c r="E20" s="30" t="inlineStr"/>
      <c r="F20" s="30" t="inlineStr"/>
      <c r="G20" s="30" t="inlineStr"/>
      <c r="H20" s="31">
        <f>IF($D20="ND",Настройки!$D$42,IF($D20="TD",Настройки!$D$39,""))</f>
        <v/>
      </c>
      <c r="I20" s="31">
        <f>IF($D20="ND",Настройки!$D$43,IF($D20="TD",Настройки!$D$40,""))</f>
        <v/>
      </c>
      <c r="J20" s="31">
        <f>IF($D20="ND",Настройки!$D$44,IF($D20="TD",Настройки!$D$41,""))</f>
        <v/>
      </c>
      <c r="K20" s="32">
        <f>IF($H20="","",$I20-$H20+IF($I20&lt;=$H20,24,0))</f>
        <v/>
      </c>
      <c r="L20" s="32">
        <f>IF($K20="","",MAX(0,$K20-$J20))</f>
        <v/>
      </c>
      <c r="M20" s="32">
        <f>($AF20+$AG20)*$Y20</f>
        <v/>
      </c>
      <c r="N20" s="32">
        <f>($Z20*$AH20+$AA20*$AI20)*$Y20</f>
        <v/>
      </c>
      <c r="O20" s="32">
        <f>($AB20*$AH20+$AC20*$AI20)*$Y20</f>
        <v/>
      </c>
      <c r="P20" s="32">
        <f>IF($L20="","",MAX(0,$L20-$O20-$AL20-$AM20))</f>
        <v/>
      </c>
      <c r="Q20" s="33">
        <f>ROUND(Настройки!$D$10*($AK20*$AN20+$AJ20*MAX($AN20,Настройки!$D$26)+$AL20*Настройки!$D$26+$AM20*Настройки!$D$23),2)</f>
        <v/>
      </c>
      <c r="R20" s="33">
        <f>IF($E20&lt;&gt;"Arbeit",0,ROUND(MIN(Настройки!$D$10,Настройки!$D$35)*($AK20*MIN($AN20,$AO20)+$AJ20*MIN(MAX($AN20,Настройки!$D$26),$AO20)+$AL20*MIN(Настройки!$D$26,Настройки!$D$33)+$AM20*MIN(Настройки!$D$23,Настройки!$D$32)),2))</f>
        <v/>
      </c>
      <c r="S20" s="33">
        <f>IF($E20&lt;&gt;"Arbeit",0,ROUND(MIN(Настройки!$D$10,Настройки!$D$36)*($AK20*MIN($AN20,$AO20)+$AJ20*MIN(MAX($AN20,Настройки!$D$26),$AO20)+$AL20*MIN(Настройки!$D$26,Настройки!$D$33)+$AM20*MIN(Настройки!$D$23,Настройки!$D$32)),2))</f>
        <v/>
      </c>
      <c r="T20" s="35">
        <f>IF(OR($W20="",$W19=""),"",24+$W20-$X19)</f>
        <v/>
      </c>
      <c r="U20" s="34">
        <f>IF($L20="","",TRIM(IF($L20&gt;10,"смена &gt;10 ч (§ 3 / § 6 ArbZG)  ","")&amp;IF(AND($T20&lt;&gt;"",$T20&lt;11),"отдых &lt;11 ч (§ 5 ArbZG)  ","")&amp;IF(AND($L20&gt;9,$J20&lt;0.75),"перерыв &lt;45 мин (§ 4 ArbZG)  ","")&amp;IF(AND($L20&gt;6,$L20&lt;=9,$J20&lt;0.5),"перерыв &lt;30 мин (§ 4 ArbZG)","")))</f>
        <v/>
      </c>
      <c r="W20">
        <f>IF($H20="","",$H20)</f>
        <v/>
      </c>
      <c r="X20">
        <f>IF($H20="","",$I20+IF($I20&lt;=$H20,24,0))</f>
        <v/>
      </c>
      <c r="Y20">
        <f>IF(OR($K20="",$K20=0),0,$L20/$K20)</f>
        <v/>
      </c>
      <c r="Z20">
        <f>IF($A20="",0,IF(WEEKDAY($A20,2)=7,1,0))</f>
        <v/>
      </c>
      <c r="AA20">
        <f>IF($A20="",0,IF(WEEKDAY($A20+1,2)=7,1,0))</f>
        <v/>
      </c>
      <c r="AB20">
        <f>IF($A20="",0,MIN(1,COUNTIF(Feiertage!$A$4:$A$43,$A20)))</f>
        <v/>
      </c>
      <c r="AC20">
        <f>IF($A20="",0,MIN(1,COUNTIF(Feiertage!$A$4:$A$43,$A20+1)))</f>
        <v/>
      </c>
      <c r="AD20">
        <f>IFERROR(INDEX(Feiertage!$D$4:$D$43,MATCH($A20,Feiertage!$A$4:$A$43,0)),Настройки!$D$34)</f>
        <v/>
      </c>
      <c r="AE20">
        <f>IFERROR(INDEX(Feiertage!$D$4:$D$43,MATCH($A20+1,Feiertage!$A$4:$A$43,0)),Настройки!$D$34)</f>
        <v/>
      </c>
      <c r="AF20">
        <f>IF($W20="",0,MAX(0,MIN($X20,Настройки!$D$25)-MAX($W20,0))+MAX(0,MIN($X20,24)-MAX($W20,Настройки!$D$24)))</f>
        <v/>
      </c>
      <c r="AG20">
        <f>IF($W20="",0,MAX(0,MIN($X20,24+Настройки!$D$25)-MAX($W20,24)))</f>
        <v/>
      </c>
      <c r="AH20">
        <f>IF($W20="",0,MAX(0,MIN($X20,24)-MAX($W20,0)))</f>
        <v/>
      </c>
      <c r="AI20">
        <f>IF($W20="",0,MAX(0,MIN($X20,48)-MAX($W20,24)))</f>
        <v/>
      </c>
      <c r="AJ20">
        <f>($Z20*$AB20*$AH20+$AA20*$AC20*$AI20)*$Y20</f>
        <v/>
      </c>
      <c r="AK20">
        <f>$O20-$AJ20</f>
        <v/>
      </c>
      <c r="AL20">
        <f>$N20-$AJ20</f>
        <v/>
      </c>
      <c r="AM20">
        <f>$M20-(MAX($Z20,$AB20)*$AF20+MAX($AA20,$AC20)*$AG20)*$Y20</f>
        <v/>
      </c>
      <c r="AN20">
        <f>IF($G20="j",Настройки!$D$27,IF($G20="n",Настройки!$D$28,IF(Настройки!$D$29="mit FZA",Настройки!$D$27,Настройки!$D$28)))</f>
        <v/>
      </c>
      <c r="AO20">
        <f>IF($O20=0,Настройки!$D$34,($AB20*$AH20*$AD20+$AC20*$AI20*$AE20)*$Y20/$O20)</f>
        <v/>
      </c>
    </row>
    <row r="21">
      <c r="A21" s="28">
        <f>IF(17&gt;Настройки!$D$6,"",DATE(Настройки!$D$4,Настройки!$D$5,17))</f>
        <v/>
      </c>
      <c r="B21" s="29">
        <f>IF($A21="","",CHOOSE(WEEKDAY($A21,2),"Пн","Вт","Ср","Чт","Пт","Сб","Вс"))</f>
        <v/>
      </c>
      <c r="C21" s="29">
        <f>IF($A21="","",IFERROR(INDEX(Feiertage!$B$4:$B$43,MATCH($A21,Feiertage!$A$4:$A$43,0)),""))</f>
        <v/>
      </c>
      <c r="D21" s="30" t="inlineStr">
        <is>
          <t>FREI</t>
        </is>
      </c>
      <c r="E21" s="30" t="inlineStr"/>
      <c r="F21" s="30" t="inlineStr"/>
      <c r="G21" s="30" t="inlineStr"/>
      <c r="H21" s="31">
        <f>IF($D21="ND",Настройки!$D$42,IF($D21="TD",Настройки!$D$39,""))</f>
        <v/>
      </c>
      <c r="I21" s="31">
        <f>IF($D21="ND",Настройки!$D$43,IF($D21="TD",Настройки!$D$40,""))</f>
        <v/>
      </c>
      <c r="J21" s="31">
        <f>IF($D21="ND",Настройки!$D$44,IF($D21="TD",Настройки!$D$41,""))</f>
        <v/>
      </c>
      <c r="K21" s="32">
        <f>IF($H21="","",$I21-$H21+IF($I21&lt;=$H21,24,0))</f>
        <v/>
      </c>
      <c r="L21" s="32">
        <f>IF($K21="","",MAX(0,$K21-$J21))</f>
        <v/>
      </c>
      <c r="M21" s="32">
        <f>($AF21+$AG21)*$Y21</f>
        <v/>
      </c>
      <c r="N21" s="32">
        <f>($Z21*$AH21+$AA21*$AI21)*$Y21</f>
        <v/>
      </c>
      <c r="O21" s="32">
        <f>($AB21*$AH21+$AC21*$AI21)*$Y21</f>
        <v/>
      </c>
      <c r="P21" s="32">
        <f>IF($L21="","",MAX(0,$L21-$O21-$AL21-$AM21))</f>
        <v/>
      </c>
      <c r="Q21" s="33">
        <f>ROUND(Настройки!$D$10*($AK21*$AN21+$AJ21*MAX($AN21,Настройки!$D$26)+$AL21*Настройки!$D$26+$AM21*Настройки!$D$23),2)</f>
        <v/>
      </c>
      <c r="R21" s="33">
        <f>IF($E21&lt;&gt;"Arbeit",0,ROUND(MIN(Настройки!$D$10,Настройки!$D$35)*($AK21*MIN($AN21,$AO21)+$AJ21*MIN(MAX($AN21,Настройки!$D$26),$AO21)+$AL21*MIN(Настройки!$D$26,Настройки!$D$33)+$AM21*MIN(Настройки!$D$23,Настройки!$D$32)),2))</f>
        <v/>
      </c>
      <c r="S21" s="33">
        <f>IF($E21&lt;&gt;"Arbeit",0,ROUND(MIN(Настройки!$D$10,Настройки!$D$36)*($AK21*MIN($AN21,$AO21)+$AJ21*MIN(MAX($AN21,Настройки!$D$26),$AO21)+$AL21*MIN(Настройки!$D$26,Настройки!$D$33)+$AM21*MIN(Настройки!$D$23,Настройки!$D$32)),2))</f>
        <v/>
      </c>
      <c r="T21" s="35">
        <f>IF(OR($W21="",$W20=""),"",24+$W21-$X20)</f>
        <v/>
      </c>
      <c r="U21" s="34">
        <f>IF($L21="","",TRIM(IF($L21&gt;10,"смена &gt;10 ч (§ 3 / § 6 ArbZG)  ","")&amp;IF(AND($T21&lt;&gt;"",$T21&lt;11),"отдых &lt;11 ч (§ 5 ArbZG)  ","")&amp;IF(AND($L21&gt;9,$J21&lt;0.75),"перерыв &lt;45 мин (§ 4 ArbZG)  ","")&amp;IF(AND($L21&gt;6,$L21&lt;=9,$J21&lt;0.5),"перерыв &lt;30 мин (§ 4 ArbZG)","")))</f>
        <v/>
      </c>
      <c r="W21">
        <f>IF($H21="","",$H21)</f>
        <v/>
      </c>
      <c r="X21">
        <f>IF($H21="","",$I21+IF($I21&lt;=$H21,24,0))</f>
        <v/>
      </c>
      <c r="Y21">
        <f>IF(OR($K21="",$K21=0),0,$L21/$K21)</f>
        <v/>
      </c>
      <c r="Z21">
        <f>IF($A21="",0,IF(WEEKDAY($A21,2)=7,1,0))</f>
        <v/>
      </c>
      <c r="AA21">
        <f>IF($A21="",0,IF(WEEKDAY($A21+1,2)=7,1,0))</f>
        <v/>
      </c>
      <c r="AB21">
        <f>IF($A21="",0,MIN(1,COUNTIF(Feiertage!$A$4:$A$43,$A21)))</f>
        <v/>
      </c>
      <c r="AC21">
        <f>IF($A21="",0,MIN(1,COUNTIF(Feiertage!$A$4:$A$43,$A21+1)))</f>
        <v/>
      </c>
      <c r="AD21">
        <f>IFERROR(INDEX(Feiertage!$D$4:$D$43,MATCH($A21,Feiertage!$A$4:$A$43,0)),Настройки!$D$34)</f>
        <v/>
      </c>
      <c r="AE21">
        <f>IFERROR(INDEX(Feiertage!$D$4:$D$43,MATCH($A21+1,Feiertage!$A$4:$A$43,0)),Настройки!$D$34)</f>
        <v/>
      </c>
      <c r="AF21">
        <f>IF($W21="",0,MAX(0,MIN($X21,Настройки!$D$25)-MAX($W21,0))+MAX(0,MIN($X21,24)-MAX($W21,Настройки!$D$24)))</f>
        <v/>
      </c>
      <c r="AG21">
        <f>IF($W21="",0,MAX(0,MIN($X21,24+Настройки!$D$25)-MAX($W21,24)))</f>
        <v/>
      </c>
      <c r="AH21">
        <f>IF($W21="",0,MAX(0,MIN($X21,24)-MAX($W21,0)))</f>
        <v/>
      </c>
      <c r="AI21">
        <f>IF($W21="",0,MAX(0,MIN($X21,48)-MAX($W21,24)))</f>
        <v/>
      </c>
      <c r="AJ21">
        <f>($Z21*$AB21*$AH21+$AA21*$AC21*$AI21)*$Y21</f>
        <v/>
      </c>
      <c r="AK21">
        <f>$O21-$AJ21</f>
        <v/>
      </c>
      <c r="AL21">
        <f>$N21-$AJ21</f>
        <v/>
      </c>
      <c r="AM21">
        <f>$M21-(MAX($Z21,$AB21)*$AF21+MAX($AA21,$AC21)*$AG21)*$Y21</f>
        <v/>
      </c>
      <c r="AN21">
        <f>IF($G21="j",Настройки!$D$27,IF($G21="n",Настройки!$D$28,IF(Настройки!$D$29="mit FZA",Настройки!$D$27,Настройки!$D$28)))</f>
        <v/>
      </c>
      <c r="AO21">
        <f>IF($O21=0,Настройки!$D$34,($AB21*$AH21*$AD21+$AC21*$AI21*$AE21)*$Y21/$O21)</f>
        <v/>
      </c>
    </row>
    <row r="22">
      <c r="A22" s="28">
        <f>IF(18&gt;Настройки!$D$6,"",DATE(Настройки!$D$4,Настройки!$D$5,18))</f>
        <v/>
      </c>
      <c r="B22" s="29">
        <f>IF($A22="","",CHOOSE(WEEKDAY($A22,2),"Пн","Вт","Ср","Чт","Пт","Сб","Вс"))</f>
        <v/>
      </c>
      <c r="C22" s="29">
        <f>IF($A22="","",IFERROR(INDEX(Feiertage!$B$4:$B$43,MATCH($A22,Feiertage!$A$4:$A$43,0)),""))</f>
        <v/>
      </c>
      <c r="D22" s="30" t="inlineStr">
        <is>
          <t>FREI</t>
        </is>
      </c>
      <c r="E22" s="30" t="inlineStr"/>
      <c r="F22" s="30" t="inlineStr"/>
      <c r="G22" s="30" t="inlineStr"/>
      <c r="H22" s="31">
        <f>IF($D22="ND",Настройки!$D$42,IF($D22="TD",Настройки!$D$39,""))</f>
        <v/>
      </c>
      <c r="I22" s="31">
        <f>IF($D22="ND",Настройки!$D$43,IF($D22="TD",Настройки!$D$40,""))</f>
        <v/>
      </c>
      <c r="J22" s="31">
        <f>IF($D22="ND",Настройки!$D$44,IF($D22="TD",Настройки!$D$41,""))</f>
        <v/>
      </c>
      <c r="K22" s="32">
        <f>IF($H22="","",$I22-$H22+IF($I22&lt;=$H22,24,0))</f>
        <v/>
      </c>
      <c r="L22" s="32">
        <f>IF($K22="","",MAX(0,$K22-$J22))</f>
        <v/>
      </c>
      <c r="M22" s="32">
        <f>($AF22+$AG22)*$Y22</f>
        <v/>
      </c>
      <c r="N22" s="32">
        <f>($Z22*$AH22+$AA22*$AI22)*$Y22</f>
        <v/>
      </c>
      <c r="O22" s="32">
        <f>($AB22*$AH22+$AC22*$AI22)*$Y22</f>
        <v/>
      </c>
      <c r="P22" s="32">
        <f>IF($L22="","",MAX(0,$L22-$O22-$AL22-$AM22))</f>
        <v/>
      </c>
      <c r="Q22" s="33">
        <f>ROUND(Настройки!$D$10*($AK22*$AN22+$AJ22*MAX($AN22,Настройки!$D$26)+$AL22*Настройки!$D$26+$AM22*Настройки!$D$23),2)</f>
        <v/>
      </c>
      <c r="R22" s="33">
        <f>IF($E22&lt;&gt;"Arbeit",0,ROUND(MIN(Настройки!$D$10,Настройки!$D$35)*($AK22*MIN($AN22,$AO22)+$AJ22*MIN(MAX($AN22,Настройки!$D$26),$AO22)+$AL22*MIN(Настройки!$D$26,Настройки!$D$33)+$AM22*MIN(Настройки!$D$23,Настройки!$D$32)),2))</f>
        <v/>
      </c>
      <c r="S22" s="33">
        <f>IF($E22&lt;&gt;"Arbeit",0,ROUND(MIN(Настройки!$D$10,Настройки!$D$36)*($AK22*MIN($AN22,$AO22)+$AJ22*MIN(MAX($AN22,Настройки!$D$26),$AO22)+$AL22*MIN(Настройки!$D$26,Настройки!$D$33)+$AM22*MIN(Настройки!$D$23,Настройки!$D$32)),2))</f>
        <v/>
      </c>
      <c r="T22" s="35">
        <f>IF(OR($W22="",$W21=""),"",24+$W22-$X21)</f>
        <v/>
      </c>
      <c r="U22" s="34">
        <f>IF($L22="","",TRIM(IF($L22&gt;10,"смена &gt;10 ч (§ 3 / § 6 ArbZG)  ","")&amp;IF(AND($T22&lt;&gt;"",$T22&lt;11),"отдых &lt;11 ч (§ 5 ArbZG)  ","")&amp;IF(AND($L22&gt;9,$J22&lt;0.75),"перерыв &lt;45 мин (§ 4 ArbZG)  ","")&amp;IF(AND($L22&gt;6,$L22&lt;=9,$J22&lt;0.5),"перерыв &lt;30 мин (§ 4 ArbZG)","")))</f>
        <v/>
      </c>
      <c r="W22">
        <f>IF($H22="","",$H22)</f>
        <v/>
      </c>
      <c r="X22">
        <f>IF($H22="","",$I22+IF($I22&lt;=$H22,24,0))</f>
        <v/>
      </c>
      <c r="Y22">
        <f>IF(OR($K22="",$K22=0),0,$L22/$K22)</f>
        <v/>
      </c>
      <c r="Z22">
        <f>IF($A22="",0,IF(WEEKDAY($A22,2)=7,1,0))</f>
        <v/>
      </c>
      <c r="AA22">
        <f>IF($A22="",0,IF(WEEKDAY($A22+1,2)=7,1,0))</f>
        <v/>
      </c>
      <c r="AB22">
        <f>IF($A22="",0,MIN(1,COUNTIF(Feiertage!$A$4:$A$43,$A22)))</f>
        <v/>
      </c>
      <c r="AC22">
        <f>IF($A22="",0,MIN(1,COUNTIF(Feiertage!$A$4:$A$43,$A22+1)))</f>
        <v/>
      </c>
      <c r="AD22">
        <f>IFERROR(INDEX(Feiertage!$D$4:$D$43,MATCH($A22,Feiertage!$A$4:$A$43,0)),Настройки!$D$34)</f>
        <v/>
      </c>
      <c r="AE22">
        <f>IFERROR(INDEX(Feiertage!$D$4:$D$43,MATCH($A22+1,Feiertage!$A$4:$A$43,0)),Настройки!$D$34)</f>
        <v/>
      </c>
      <c r="AF22">
        <f>IF($W22="",0,MAX(0,MIN($X22,Настройки!$D$25)-MAX($W22,0))+MAX(0,MIN($X22,24)-MAX($W22,Настройки!$D$24)))</f>
        <v/>
      </c>
      <c r="AG22">
        <f>IF($W22="",0,MAX(0,MIN($X22,24+Настройки!$D$25)-MAX($W22,24)))</f>
        <v/>
      </c>
      <c r="AH22">
        <f>IF($W22="",0,MAX(0,MIN($X22,24)-MAX($W22,0)))</f>
        <v/>
      </c>
      <c r="AI22">
        <f>IF($W22="",0,MAX(0,MIN($X22,48)-MAX($W22,24)))</f>
        <v/>
      </c>
      <c r="AJ22">
        <f>($Z22*$AB22*$AH22+$AA22*$AC22*$AI22)*$Y22</f>
        <v/>
      </c>
      <c r="AK22">
        <f>$O22-$AJ22</f>
        <v/>
      </c>
      <c r="AL22">
        <f>$N22-$AJ22</f>
        <v/>
      </c>
      <c r="AM22">
        <f>$M22-(MAX($Z22,$AB22)*$AF22+MAX($AA22,$AC22)*$AG22)*$Y22</f>
        <v/>
      </c>
      <c r="AN22">
        <f>IF($G22="j",Настройки!$D$27,IF($G22="n",Настройки!$D$28,IF(Настройки!$D$29="mit FZA",Настройки!$D$27,Настройки!$D$28)))</f>
        <v/>
      </c>
      <c r="AO22">
        <f>IF($O22=0,Настройки!$D$34,($AB22*$AH22*$AD22+$AC22*$AI22*$AE22)*$Y22/$O22)</f>
        <v/>
      </c>
    </row>
    <row r="23">
      <c r="A23" s="28">
        <f>IF(19&gt;Настройки!$D$6,"",DATE(Настройки!$D$4,Настройки!$D$5,19))</f>
        <v/>
      </c>
      <c r="B23" s="29">
        <f>IF($A23="","",CHOOSE(WEEKDAY($A23,2),"Пн","Вт","Ср","Чт","Пт","Сб","Вс"))</f>
        <v/>
      </c>
      <c r="C23" s="29">
        <f>IF($A23="","",IFERROR(INDEX(Feiertage!$B$4:$B$43,MATCH($A23,Feiertage!$A$4:$A$43,0)),""))</f>
        <v/>
      </c>
      <c r="D23" s="30" t="inlineStr">
        <is>
          <t>FREI</t>
        </is>
      </c>
      <c r="E23" s="30" t="inlineStr"/>
      <c r="F23" s="30" t="inlineStr"/>
      <c r="G23" s="30" t="inlineStr"/>
      <c r="H23" s="31">
        <f>IF($D23="ND",Настройки!$D$42,IF($D23="TD",Настройки!$D$39,""))</f>
        <v/>
      </c>
      <c r="I23" s="31">
        <f>IF($D23="ND",Настройки!$D$43,IF($D23="TD",Настройки!$D$40,""))</f>
        <v/>
      </c>
      <c r="J23" s="31">
        <f>IF($D23="ND",Настройки!$D$44,IF($D23="TD",Настройки!$D$41,""))</f>
        <v/>
      </c>
      <c r="K23" s="32">
        <f>IF($H23="","",$I23-$H23+IF($I23&lt;=$H23,24,0))</f>
        <v/>
      </c>
      <c r="L23" s="32">
        <f>IF($K23="","",MAX(0,$K23-$J23))</f>
        <v/>
      </c>
      <c r="M23" s="32">
        <f>($AF23+$AG23)*$Y23</f>
        <v/>
      </c>
      <c r="N23" s="32">
        <f>($Z23*$AH23+$AA23*$AI23)*$Y23</f>
        <v/>
      </c>
      <c r="O23" s="32">
        <f>($AB23*$AH23+$AC23*$AI23)*$Y23</f>
        <v/>
      </c>
      <c r="P23" s="32">
        <f>IF($L23="","",MAX(0,$L23-$O23-$AL23-$AM23))</f>
        <v/>
      </c>
      <c r="Q23" s="33">
        <f>ROUND(Настройки!$D$10*($AK23*$AN23+$AJ23*MAX($AN23,Настройки!$D$26)+$AL23*Настройки!$D$26+$AM23*Настройки!$D$23),2)</f>
        <v/>
      </c>
      <c r="R23" s="33">
        <f>IF($E23&lt;&gt;"Arbeit",0,ROUND(MIN(Настройки!$D$10,Настройки!$D$35)*($AK23*MIN($AN23,$AO23)+$AJ23*MIN(MAX($AN23,Настройки!$D$26),$AO23)+$AL23*MIN(Настройки!$D$26,Настройки!$D$33)+$AM23*MIN(Настройки!$D$23,Настройки!$D$32)),2))</f>
        <v/>
      </c>
      <c r="S23" s="33">
        <f>IF($E23&lt;&gt;"Arbeit",0,ROUND(MIN(Настройки!$D$10,Настройки!$D$36)*($AK23*MIN($AN23,$AO23)+$AJ23*MIN(MAX($AN23,Настройки!$D$26),$AO23)+$AL23*MIN(Настройки!$D$26,Настройки!$D$33)+$AM23*MIN(Настройки!$D$23,Настройки!$D$32)),2))</f>
        <v/>
      </c>
      <c r="T23" s="35">
        <f>IF(OR($W23="",$W22=""),"",24+$W23-$X22)</f>
        <v/>
      </c>
      <c r="U23" s="34">
        <f>IF($L23="","",TRIM(IF($L23&gt;10,"смена &gt;10 ч (§ 3 / § 6 ArbZG)  ","")&amp;IF(AND($T23&lt;&gt;"",$T23&lt;11),"отдых &lt;11 ч (§ 5 ArbZG)  ","")&amp;IF(AND($L23&gt;9,$J23&lt;0.75),"перерыв &lt;45 мин (§ 4 ArbZG)  ","")&amp;IF(AND($L23&gt;6,$L23&lt;=9,$J23&lt;0.5),"перерыв &lt;30 мин (§ 4 ArbZG)","")))</f>
        <v/>
      </c>
      <c r="W23">
        <f>IF($H23="","",$H23)</f>
        <v/>
      </c>
      <c r="X23">
        <f>IF($H23="","",$I23+IF($I23&lt;=$H23,24,0))</f>
        <v/>
      </c>
      <c r="Y23">
        <f>IF(OR($K23="",$K23=0),0,$L23/$K23)</f>
        <v/>
      </c>
      <c r="Z23">
        <f>IF($A23="",0,IF(WEEKDAY($A23,2)=7,1,0))</f>
        <v/>
      </c>
      <c r="AA23">
        <f>IF($A23="",0,IF(WEEKDAY($A23+1,2)=7,1,0))</f>
        <v/>
      </c>
      <c r="AB23">
        <f>IF($A23="",0,MIN(1,COUNTIF(Feiertage!$A$4:$A$43,$A23)))</f>
        <v/>
      </c>
      <c r="AC23">
        <f>IF($A23="",0,MIN(1,COUNTIF(Feiertage!$A$4:$A$43,$A23+1)))</f>
        <v/>
      </c>
      <c r="AD23">
        <f>IFERROR(INDEX(Feiertage!$D$4:$D$43,MATCH($A23,Feiertage!$A$4:$A$43,0)),Настройки!$D$34)</f>
        <v/>
      </c>
      <c r="AE23">
        <f>IFERROR(INDEX(Feiertage!$D$4:$D$43,MATCH($A23+1,Feiertage!$A$4:$A$43,0)),Настройки!$D$34)</f>
        <v/>
      </c>
      <c r="AF23">
        <f>IF($W23="",0,MAX(0,MIN($X23,Настройки!$D$25)-MAX($W23,0))+MAX(0,MIN($X23,24)-MAX($W23,Настройки!$D$24)))</f>
        <v/>
      </c>
      <c r="AG23">
        <f>IF($W23="",0,MAX(0,MIN($X23,24+Настройки!$D$25)-MAX($W23,24)))</f>
        <v/>
      </c>
      <c r="AH23">
        <f>IF($W23="",0,MAX(0,MIN($X23,24)-MAX($W23,0)))</f>
        <v/>
      </c>
      <c r="AI23">
        <f>IF($W23="",0,MAX(0,MIN($X23,48)-MAX($W23,24)))</f>
        <v/>
      </c>
      <c r="AJ23">
        <f>($Z23*$AB23*$AH23+$AA23*$AC23*$AI23)*$Y23</f>
        <v/>
      </c>
      <c r="AK23">
        <f>$O23-$AJ23</f>
        <v/>
      </c>
      <c r="AL23">
        <f>$N23-$AJ23</f>
        <v/>
      </c>
      <c r="AM23">
        <f>$M23-(MAX($Z23,$AB23)*$AF23+MAX($AA23,$AC23)*$AG23)*$Y23</f>
        <v/>
      </c>
      <c r="AN23">
        <f>IF($G23="j",Настройки!$D$27,IF($G23="n",Настройки!$D$28,IF(Настройки!$D$29="mit FZA",Настройки!$D$27,Настройки!$D$28)))</f>
        <v/>
      </c>
      <c r="AO23">
        <f>IF($O23=0,Настройки!$D$34,($AB23*$AH23*$AD23+$AC23*$AI23*$AE23)*$Y23/$O23)</f>
        <v/>
      </c>
    </row>
    <row r="24">
      <c r="A24" s="28">
        <f>IF(20&gt;Настройки!$D$6,"",DATE(Настройки!$D$4,Настройки!$D$5,20))</f>
        <v/>
      </c>
      <c r="B24" s="29">
        <f>IF($A24="","",CHOOSE(WEEKDAY($A24,2),"Пн","Вт","Ср","Чт","Пт","Сб","Вс"))</f>
        <v/>
      </c>
      <c r="C24" s="29">
        <f>IF($A24="","",IFERROR(INDEX(Feiertage!$B$4:$B$43,MATCH($A24,Feiertage!$A$4:$A$43,0)),""))</f>
        <v/>
      </c>
      <c r="D24" s="30" t="inlineStr">
        <is>
          <t>FREI</t>
        </is>
      </c>
      <c r="E24" s="30" t="inlineStr"/>
      <c r="F24" s="30" t="inlineStr"/>
      <c r="G24" s="30" t="inlineStr"/>
      <c r="H24" s="31">
        <f>IF($D24="ND",Настройки!$D$42,IF($D24="TD",Настройки!$D$39,""))</f>
        <v/>
      </c>
      <c r="I24" s="31">
        <f>IF($D24="ND",Настройки!$D$43,IF($D24="TD",Настройки!$D$40,""))</f>
        <v/>
      </c>
      <c r="J24" s="31">
        <f>IF($D24="ND",Настройки!$D$44,IF($D24="TD",Настройки!$D$41,""))</f>
        <v/>
      </c>
      <c r="K24" s="32">
        <f>IF($H24="","",$I24-$H24+IF($I24&lt;=$H24,24,0))</f>
        <v/>
      </c>
      <c r="L24" s="32">
        <f>IF($K24="","",MAX(0,$K24-$J24))</f>
        <v/>
      </c>
      <c r="M24" s="32">
        <f>($AF24+$AG24)*$Y24</f>
        <v/>
      </c>
      <c r="N24" s="32">
        <f>($Z24*$AH24+$AA24*$AI24)*$Y24</f>
        <v/>
      </c>
      <c r="O24" s="32">
        <f>($AB24*$AH24+$AC24*$AI24)*$Y24</f>
        <v/>
      </c>
      <c r="P24" s="32">
        <f>IF($L24="","",MAX(0,$L24-$O24-$AL24-$AM24))</f>
        <v/>
      </c>
      <c r="Q24" s="33">
        <f>ROUND(Настройки!$D$10*($AK24*$AN24+$AJ24*MAX($AN24,Настройки!$D$26)+$AL24*Настройки!$D$26+$AM24*Настройки!$D$23),2)</f>
        <v/>
      </c>
      <c r="R24" s="33">
        <f>IF($E24&lt;&gt;"Arbeit",0,ROUND(MIN(Настройки!$D$10,Настройки!$D$35)*($AK24*MIN($AN24,$AO24)+$AJ24*MIN(MAX($AN24,Настройки!$D$26),$AO24)+$AL24*MIN(Настройки!$D$26,Настройки!$D$33)+$AM24*MIN(Настройки!$D$23,Настройки!$D$32)),2))</f>
        <v/>
      </c>
      <c r="S24" s="33">
        <f>IF($E24&lt;&gt;"Arbeit",0,ROUND(MIN(Настройки!$D$10,Настройки!$D$36)*($AK24*MIN($AN24,$AO24)+$AJ24*MIN(MAX($AN24,Настройки!$D$26),$AO24)+$AL24*MIN(Настройки!$D$26,Настройки!$D$33)+$AM24*MIN(Настройки!$D$23,Настройки!$D$32)),2))</f>
        <v/>
      </c>
      <c r="T24" s="35">
        <f>IF(OR($W24="",$W23=""),"",24+$W24-$X23)</f>
        <v/>
      </c>
      <c r="U24" s="34">
        <f>IF($L24="","",TRIM(IF($L24&gt;10,"смена &gt;10 ч (§ 3 / § 6 ArbZG)  ","")&amp;IF(AND($T24&lt;&gt;"",$T24&lt;11),"отдых &lt;11 ч (§ 5 ArbZG)  ","")&amp;IF(AND($L24&gt;9,$J24&lt;0.75),"перерыв &lt;45 мин (§ 4 ArbZG)  ","")&amp;IF(AND($L24&gt;6,$L24&lt;=9,$J24&lt;0.5),"перерыв &lt;30 мин (§ 4 ArbZG)","")))</f>
        <v/>
      </c>
      <c r="W24">
        <f>IF($H24="","",$H24)</f>
        <v/>
      </c>
      <c r="X24">
        <f>IF($H24="","",$I24+IF($I24&lt;=$H24,24,0))</f>
        <v/>
      </c>
      <c r="Y24">
        <f>IF(OR($K24="",$K24=0),0,$L24/$K24)</f>
        <v/>
      </c>
      <c r="Z24">
        <f>IF($A24="",0,IF(WEEKDAY($A24,2)=7,1,0))</f>
        <v/>
      </c>
      <c r="AA24">
        <f>IF($A24="",0,IF(WEEKDAY($A24+1,2)=7,1,0))</f>
        <v/>
      </c>
      <c r="AB24">
        <f>IF($A24="",0,MIN(1,COUNTIF(Feiertage!$A$4:$A$43,$A24)))</f>
        <v/>
      </c>
      <c r="AC24">
        <f>IF($A24="",0,MIN(1,COUNTIF(Feiertage!$A$4:$A$43,$A24+1)))</f>
        <v/>
      </c>
      <c r="AD24">
        <f>IFERROR(INDEX(Feiertage!$D$4:$D$43,MATCH($A24,Feiertage!$A$4:$A$43,0)),Настройки!$D$34)</f>
        <v/>
      </c>
      <c r="AE24">
        <f>IFERROR(INDEX(Feiertage!$D$4:$D$43,MATCH($A24+1,Feiertage!$A$4:$A$43,0)),Настройки!$D$34)</f>
        <v/>
      </c>
      <c r="AF24">
        <f>IF($W24="",0,MAX(0,MIN($X24,Настройки!$D$25)-MAX($W24,0))+MAX(0,MIN($X24,24)-MAX($W24,Настройки!$D$24)))</f>
        <v/>
      </c>
      <c r="AG24">
        <f>IF($W24="",0,MAX(0,MIN($X24,24+Настройки!$D$25)-MAX($W24,24)))</f>
        <v/>
      </c>
      <c r="AH24">
        <f>IF($W24="",0,MAX(0,MIN($X24,24)-MAX($W24,0)))</f>
        <v/>
      </c>
      <c r="AI24">
        <f>IF($W24="",0,MAX(0,MIN($X24,48)-MAX($W24,24)))</f>
        <v/>
      </c>
      <c r="AJ24">
        <f>($Z24*$AB24*$AH24+$AA24*$AC24*$AI24)*$Y24</f>
        <v/>
      </c>
      <c r="AK24">
        <f>$O24-$AJ24</f>
        <v/>
      </c>
      <c r="AL24">
        <f>$N24-$AJ24</f>
        <v/>
      </c>
      <c r="AM24">
        <f>$M24-(MAX($Z24,$AB24)*$AF24+MAX($AA24,$AC24)*$AG24)*$Y24</f>
        <v/>
      </c>
      <c r="AN24">
        <f>IF($G24="j",Настройки!$D$27,IF($G24="n",Настройки!$D$28,IF(Настройки!$D$29="mit FZA",Настройки!$D$27,Настройки!$D$28)))</f>
        <v/>
      </c>
      <c r="AO24">
        <f>IF($O24=0,Настройки!$D$34,($AB24*$AH24*$AD24+$AC24*$AI24*$AE24)*$Y24/$O24)</f>
        <v/>
      </c>
    </row>
    <row r="25">
      <c r="A25" s="28">
        <f>IF(21&gt;Настройки!$D$6,"",DATE(Настройки!$D$4,Настройки!$D$5,21))</f>
        <v/>
      </c>
      <c r="B25" s="29">
        <f>IF($A25="","",CHOOSE(WEEKDAY($A25,2),"Пн","Вт","Ср","Чт","Пт","Сб","Вс"))</f>
        <v/>
      </c>
      <c r="C25" s="29">
        <f>IF($A25="","",IFERROR(INDEX(Feiertage!$B$4:$B$43,MATCH($A25,Feiertage!$A$4:$A$43,0)),""))</f>
        <v/>
      </c>
      <c r="D25" s="30" t="inlineStr">
        <is>
          <t>FREI</t>
        </is>
      </c>
      <c r="E25" s="30" t="inlineStr"/>
      <c r="F25" s="30" t="inlineStr"/>
      <c r="G25" s="30" t="inlineStr"/>
      <c r="H25" s="31">
        <f>IF($D25="ND",Настройки!$D$42,IF($D25="TD",Настройки!$D$39,""))</f>
        <v/>
      </c>
      <c r="I25" s="31">
        <f>IF($D25="ND",Настройки!$D$43,IF($D25="TD",Настройки!$D$40,""))</f>
        <v/>
      </c>
      <c r="J25" s="31">
        <f>IF($D25="ND",Настройки!$D$44,IF($D25="TD",Настройки!$D$41,""))</f>
        <v/>
      </c>
      <c r="K25" s="32">
        <f>IF($H25="","",$I25-$H25+IF($I25&lt;=$H25,24,0))</f>
        <v/>
      </c>
      <c r="L25" s="32">
        <f>IF($K25="","",MAX(0,$K25-$J25))</f>
        <v/>
      </c>
      <c r="M25" s="32">
        <f>($AF25+$AG25)*$Y25</f>
        <v/>
      </c>
      <c r="N25" s="32">
        <f>($Z25*$AH25+$AA25*$AI25)*$Y25</f>
        <v/>
      </c>
      <c r="O25" s="32">
        <f>($AB25*$AH25+$AC25*$AI25)*$Y25</f>
        <v/>
      </c>
      <c r="P25" s="32">
        <f>IF($L25="","",MAX(0,$L25-$O25-$AL25-$AM25))</f>
        <v/>
      </c>
      <c r="Q25" s="33">
        <f>ROUND(Настройки!$D$10*($AK25*$AN25+$AJ25*MAX($AN25,Настройки!$D$26)+$AL25*Настройки!$D$26+$AM25*Настройки!$D$23),2)</f>
        <v/>
      </c>
      <c r="R25" s="33">
        <f>IF($E25&lt;&gt;"Arbeit",0,ROUND(MIN(Настройки!$D$10,Настройки!$D$35)*($AK25*MIN($AN25,$AO25)+$AJ25*MIN(MAX($AN25,Настройки!$D$26),$AO25)+$AL25*MIN(Настройки!$D$26,Настройки!$D$33)+$AM25*MIN(Настройки!$D$23,Настройки!$D$32)),2))</f>
        <v/>
      </c>
      <c r="S25" s="33">
        <f>IF($E25&lt;&gt;"Arbeit",0,ROUND(MIN(Настройки!$D$10,Настройки!$D$36)*($AK25*MIN($AN25,$AO25)+$AJ25*MIN(MAX($AN25,Настройки!$D$26),$AO25)+$AL25*MIN(Настройки!$D$26,Настройки!$D$33)+$AM25*MIN(Настройки!$D$23,Настройки!$D$32)),2))</f>
        <v/>
      </c>
      <c r="T25" s="35">
        <f>IF(OR($W25="",$W24=""),"",24+$W25-$X24)</f>
        <v/>
      </c>
      <c r="U25" s="34">
        <f>IF($L25="","",TRIM(IF($L25&gt;10,"смена &gt;10 ч (§ 3 / § 6 ArbZG)  ","")&amp;IF(AND($T25&lt;&gt;"",$T25&lt;11),"отдых &lt;11 ч (§ 5 ArbZG)  ","")&amp;IF(AND($L25&gt;9,$J25&lt;0.75),"перерыв &lt;45 мин (§ 4 ArbZG)  ","")&amp;IF(AND($L25&gt;6,$L25&lt;=9,$J25&lt;0.5),"перерыв &lt;30 мин (§ 4 ArbZG)","")))</f>
        <v/>
      </c>
      <c r="W25">
        <f>IF($H25="","",$H25)</f>
        <v/>
      </c>
      <c r="X25">
        <f>IF($H25="","",$I25+IF($I25&lt;=$H25,24,0))</f>
        <v/>
      </c>
      <c r="Y25">
        <f>IF(OR($K25="",$K25=0),0,$L25/$K25)</f>
        <v/>
      </c>
      <c r="Z25">
        <f>IF($A25="",0,IF(WEEKDAY($A25,2)=7,1,0))</f>
        <v/>
      </c>
      <c r="AA25">
        <f>IF($A25="",0,IF(WEEKDAY($A25+1,2)=7,1,0))</f>
        <v/>
      </c>
      <c r="AB25">
        <f>IF($A25="",0,MIN(1,COUNTIF(Feiertage!$A$4:$A$43,$A25)))</f>
        <v/>
      </c>
      <c r="AC25">
        <f>IF($A25="",0,MIN(1,COUNTIF(Feiertage!$A$4:$A$43,$A25+1)))</f>
        <v/>
      </c>
      <c r="AD25">
        <f>IFERROR(INDEX(Feiertage!$D$4:$D$43,MATCH($A25,Feiertage!$A$4:$A$43,0)),Настройки!$D$34)</f>
        <v/>
      </c>
      <c r="AE25">
        <f>IFERROR(INDEX(Feiertage!$D$4:$D$43,MATCH($A25+1,Feiertage!$A$4:$A$43,0)),Настройки!$D$34)</f>
        <v/>
      </c>
      <c r="AF25">
        <f>IF($W25="",0,MAX(0,MIN($X25,Настройки!$D$25)-MAX($W25,0))+MAX(0,MIN($X25,24)-MAX($W25,Настройки!$D$24)))</f>
        <v/>
      </c>
      <c r="AG25">
        <f>IF($W25="",0,MAX(0,MIN($X25,24+Настройки!$D$25)-MAX($W25,24)))</f>
        <v/>
      </c>
      <c r="AH25">
        <f>IF($W25="",0,MAX(0,MIN($X25,24)-MAX($W25,0)))</f>
        <v/>
      </c>
      <c r="AI25">
        <f>IF($W25="",0,MAX(0,MIN($X25,48)-MAX($W25,24)))</f>
        <v/>
      </c>
      <c r="AJ25">
        <f>($Z25*$AB25*$AH25+$AA25*$AC25*$AI25)*$Y25</f>
        <v/>
      </c>
      <c r="AK25">
        <f>$O25-$AJ25</f>
        <v/>
      </c>
      <c r="AL25">
        <f>$N25-$AJ25</f>
        <v/>
      </c>
      <c r="AM25">
        <f>$M25-(MAX($Z25,$AB25)*$AF25+MAX($AA25,$AC25)*$AG25)*$Y25</f>
        <v/>
      </c>
      <c r="AN25">
        <f>IF($G25="j",Настройки!$D$27,IF($G25="n",Настройки!$D$28,IF(Настройки!$D$29="mit FZA",Настройки!$D$27,Настройки!$D$28)))</f>
        <v/>
      </c>
      <c r="AO25">
        <f>IF($O25=0,Настройки!$D$34,($AB25*$AH25*$AD25+$AC25*$AI25*$AE25)*$Y25/$O25)</f>
        <v/>
      </c>
    </row>
    <row r="26">
      <c r="A26" s="28">
        <f>IF(22&gt;Настройки!$D$6,"",DATE(Настройки!$D$4,Настройки!$D$5,22))</f>
        <v/>
      </c>
      <c r="B26" s="29">
        <f>IF($A26="","",CHOOSE(WEEKDAY($A26,2),"Пн","Вт","Ср","Чт","Пт","Сб","Вс"))</f>
        <v/>
      </c>
      <c r="C26" s="29">
        <f>IF($A26="","",IFERROR(INDEX(Feiertage!$B$4:$B$43,MATCH($A26,Feiertage!$A$4:$A$43,0)),""))</f>
        <v/>
      </c>
      <c r="D26" s="30" t="inlineStr">
        <is>
          <t>FREI</t>
        </is>
      </c>
      <c r="E26" s="30" t="inlineStr"/>
      <c r="F26" s="30" t="inlineStr"/>
      <c r="G26" s="30" t="inlineStr"/>
      <c r="H26" s="31">
        <f>IF($D26="ND",Настройки!$D$42,IF($D26="TD",Настройки!$D$39,""))</f>
        <v/>
      </c>
      <c r="I26" s="31">
        <f>IF($D26="ND",Настройки!$D$43,IF($D26="TD",Настройки!$D$40,""))</f>
        <v/>
      </c>
      <c r="J26" s="31">
        <f>IF($D26="ND",Настройки!$D$44,IF($D26="TD",Настройки!$D$41,""))</f>
        <v/>
      </c>
      <c r="K26" s="32">
        <f>IF($H26="","",$I26-$H26+IF($I26&lt;=$H26,24,0))</f>
        <v/>
      </c>
      <c r="L26" s="32">
        <f>IF($K26="","",MAX(0,$K26-$J26))</f>
        <v/>
      </c>
      <c r="M26" s="32">
        <f>($AF26+$AG26)*$Y26</f>
        <v/>
      </c>
      <c r="N26" s="32">
        <f>($Z26*$AH26+$AA26*$AI26)*$Y26</f>
        <v/>
      </c>
      <c r="O26" s="32">
        <f>($AB26*$AH26+$AC26*$AI26)*$Y26</f>
        <v/>
      </c>
      <c r="P26" s="32">
        <f>IF($L26="","",MAX(0,$L26-$O26-$AL26-$AM26))</f>
        <v/>
      </c>
      <c r="Q26" s="33">
        <f>ROUND(Настройки!$D$10*($AK26*$AN26+$AJ26*MAX($AN26,Настройки!$D$26)+$AL26*Настройки!$D$26+$AM26*Настройки!$D$23),2)</f>
        <v/>
      </c>
      <c r="R26" s="33">
        <f>IF($E26&lt;&gt;"Arbeit",0,ROUND(MIN(Настройки!$D$10,Настройки!$D$35)*($AK26*MIN($AN26,$AO26)+$AJ26*MIN(MAX($AN26,Настройки!$D$26),$AO26)+$AL26*MIN(Настройки!$D$26,Настройки!$D$33)+$AM26*MIN(Настройки!$D$23,Настройки!$D$32)),2))</f>
        <v/>
      </c>
      <c r="S26" s="33">
        <f>IF($E26&lt;&gt;"Arbeit",0,ROUND(MIN(Настройки!$D$10,Настройки!$D$36)*($AK26*MIN($AN26,$AO26)+$AJ26*MIN(MAX($AN26,Настройки!$D$26),$AO26)+$AL26*MIN(Настройки!$D$26,Настройки!$D$33)+$AM26*MIN(Настройки!$D$23,Настройки!$D$32)),2))</f>
        <v/>
      </c>
      <c r="T26" s="35">
        <f>IF(OR($W26="",$W25=""),"",24+$W26-$X25)</f>
        <v/>
      </c>
      <c r="U26" s="34">
        <f>IF($L26="","",TRIM(IF($L26&gt;10,"смена &gt;10 ч (§ 3 / § 6 ArbZG)  ","")&amp;IF(AND($T26&lt;&gt;"",$T26&lt;11),"отдых &lt;11 ч (§ 5 ArbZG)  ","")&amp;IF(AND($L26&gt;9,$J26&lt;0.75),"перерыв &lt;45 мин (§ 4 ArbZG)  ","")&amp;IF(AND($L26&gt;6,$L26&lt;=9,$J26&lt;0.5),"перерыв &lt;30 мин (§ 4 ArbZG)","")))</f>
        <v/>
      </c>
      <c r="W26">
        <f>IF($H26="","",$H26)</f>
        <v/>
      </c>
      <c r="X26">
        <f>IF($H26="","",$I26+IF($I26&lt;=$H26,24,0))</f>
        <v/>
      </c>
      <c r="Y26">
        <f>IF(OR($K26="",$K26=0),0,$L26/$K26)</f>
        <v/>
      </c>
      <c r="Z26">
        <f>IF($A26="",0,IF(WEEKDAY($A26,2)=7,1,0))</f>
        <v/>
      </c>
      <c r="AA26">
        <f>IF($A26="",0,IF(WEEKDAY($A26+1,2)=7,1,0))</f>
        <v/>
      </c>
      <c r="AB26">
        <f>IF($A26="",0,MIN(1,COUNTIF(Feiertage!$A$4:$A$43,$A26)))</f>
        <v/>
      </c>
      <c r="AC26">
        <f>IF($A26="",0,MIN(1,COUNTIF(Feiertage!$A$4:$A$43,$A26+1)))</f>
        <v/>
      </c>
      <c r="AD26">
        <f>IFERROR(INDEX(Feiertage!$D$4:$D$43,MATCH($A26,Feiertage!$A$4:$A$43,0)),Настройки!$D$34)</f>
        <v/>
      </c>
      <c r="AE26">
        <f>IFERROR(INDEX(Feiertage!$D$4:$D$43,MATCH($A26+1,Feiertage!$A$4:$A$43,0)),Настройки!$D$34)</f>
        <v/>
      </c>
      <c r="AF26">
        <f>IF($W26="",0,MAX(0,MIN($X26,Настройки!$D$25)-MAX($W26,0))+MAX(0,MIN($X26,24)-MAX($W26,Настройки!$D$24)))</f>
        <v/>
      </c>
      <c r="AG26">
        <f>IF($W26="",0,MAX(0,MIN($X26,24+Настройки!$D$25)-MAX($W26,24)))</f>
        <v/>
      </c>
      <c r="AH26">
        <f>IF($W26="",0,MAX(0,MIN($X26,24)-MAX($W26,0)))</f>
        <v/>
      </c>
      <c r="AI26">
        <f>IF($W26="",0,MAX(0,MIN($X26,48)-MAX($W26,24)))</f>
        <v/>
      </c>
      <c r="AJ26">
        <f>($Z26*$AB26*$AH26+$AA26*$AC26*$AI26)*$Y26</f>
        <v/>
      </c>
      <c r="AK26">
        <f>$O26-$AJ26</f>
        <v/>
      </c>
      <c r="AL26">
        <f>$N26-$AJ26</f>
        <v/>
      </c>
      <c r="AM26">
        <f>$M26-(MAX($Z26,$AB26)*$AF26+MAX($AA26,$AC26)*$AG26)*$Y26</f>
        <v/>
      </c>
      <c r="AN26">
        <f>IF($G26="j",Настройки!$D$27,IF($G26="n",Настройки!$D$28,IF(Настройки!$D$29="mit FZA",Настройки!$D$27,Настройки!$D$28)))</f>
        <v/>
      </c>
      <c r="AO26">
        <f>IF($O26=0,Настройки!$D$34,($AB26*$AH26*$AD26+$AC26*$AI26*$AE26)*$Y26/$O26)</f>
        <v/>
      </c>
    </row>
    <row r="27">
      <c r="A27" s="28">
        <f>IF(23&gt;Настройки!$D$6,"",DATE(Настройки!$D$4,Настройки!$D$5,23))</f>
        <v/>
      </c>
      <c r="B27" s="29">
        <f>IF($A27="","",CHOOSE(WEEKDAY($A27,2),"Пн","Вт","Ср","Чт","Пт","Сб","Вс"))</f>
        <v/>
      </c>
      <c r="C27" s="29">
        <f>IF($A27="","",IFERROR(INDEX(Feiertage!$B$4:$B$43,MATCH($A27,Feiertage!$A$4:$A$43,0)),""))</f>
        <v/>
      </c>
      <c r="D27" s="30" t="inlineStr">
        <is>
          <t>TD</t>
        </is>
      </c>
      <c r="E27" s="30" t="inlineStr">
        <is>
          <t>Arbeit</t>
        </is>
      </c>
      <c r="F27" s="30" t="inlineStr"/>
      <c r="G27" s="30" t="inlineStr"/>
      <c r="H27" s="31">
        <f>IF($D27="ND",Настройки!$D$42,IF($D27="TD",Настройки!$D$39,""))</f>
        <v/>
      </c>
      <c r="I27" s="31">
        <f>IF($D27="ND",Настройки!$D$43,IF($D27="TD",Настройки!$D$40,""))</f>
        <v/>
      </c>
      <c r="J27" s="31">
        <f>IF($D27="ND",Настройки!$D$44,IF($D27="TD",Настройки!$D$41,""))</f>
        <v/>
      </c>
      <c r="K27" s="32">
        <f>IF($H27="","",$I27-$H27+IF($I27&lt;=$H27,24,0))</f>
        <v/>
      </c>
      <c r="L27" s="32">
        <f>IF($K27="","",MAX(0,$K27-$J27))</f>
        <v/>
      </c>
      <c r="M27" s="32">
        <f>($AF27+$AG27)*$Y27</f>
        <v/>
      </c>
      <c r="N27" s="32">
        <f>($Z27*$AH27+$AA27*$AI27)*$Y27</f>
        <v/>
      </c>
      <c r="O27" s="32">
        <f>($AB27*$AH27+$AC27*$AI27)*$Y27</f>
        <v/>
      </c>
      <c r="P27" s="32">
        <f>IF($L27="","",MAX(0,$L27-$O27-$AL27-$AM27))</f>
        <v/>
      </c>
      <c r="Q27" s="33">
        <f>ROUND(Настройки!$D$10*($AK27*$AN27+$AJ27*MAX($AN27,Настройки!$D$26)+$AL27*Настройки!$D$26+$AM27*Настройки!$D$23),2)</f>
        <v/>
      </c>
      <c r="R27" s="33">
        <f>IF($E27&lt;&gt;"Arbeit",0,ROUND(MIN(Настройки!$D$10,Настройки!$D$35)*($AK27*MIN($AN27,$AO27)+$AJ27*MIN(MAX($AN27,Настройки!$D$26),$AO27)+$AL27*MIN(Настройки!$D$26,Настройки!$D$33)+$AM27*MIN(Настройки!$D$23,Настройки!$D$32)),2))</f>
        <v/>
      </c>
      <c r="S27" s="33">
        <f>IF($E27&lt;&gt;"Arbeit",0,ROUND(MIN(Настройки!$D$10,Настройки!$D$36)*($AK27*MIN($AN27,$AO27)+$AJ27*MIN(MAX($AN27,Настройки!$D$26),$AO27)+$AL27*MIN(Настройки!$D$26,Настройки!$D$33)+$AM27*MIN(Настройки!$D$23,Настройки!$D$32)),2))</f>
        <v/>
      </c>
      <c r="T27" s="35">
        <f>IF(OR($W27="",$W26=""),"",24+$W27-$X26)</f>
        <v/>
      </c>
      <c r="U27" s="34">
        <f>IF($L27="","",TRIM(IF($L27&gt;10,"смена &gt;10 ч (§ 3 / § 6 ArbZG)  ","")&amp;IF(AND($T27&lt;&gt;"",$T27&lt;11),"отдых &lt;11 ч (§ 5 ArbZG)  ","")&amp;IF(AND($L27&gt;9,$J27&lt;0.75),"перерыв &lt;45 мин (§ 4 ArbZG)  ","")&amp;IF(AND($L27&gt;6,$L27&lt;=9,$J27&lt;0.5),"перерыв &lt;30 мин (§ 4 ArbZG)","")))</f>
        <v/>
      </c>
      <c r="W27">
        <f>IF($H27="","",$H27)</f>
        <v/>
      </c>
      <c r="X27">
        <f>IF($H27="","",$I27+IF($I27&lt;=$H27,24,0))</f>
        <v/>
      </c>
      <c r="Y27">
        <f>IF(OR($K27="",$K27=0),0,$L27/$K27)</f>
        <v/>
      </c>
      <c r="Z27">
        <f>IF($A27="",0,IF(WEEKDAY($A27,2)=7,1,0))</f>
        <v/>
      </c>
      <c r="AA27">
        <f>IF($A27="",0,IF(WEEKDAY($A27+1,2)=7,1,0))</f>
        <v/>
      </c>
      <c r="AB27">
        <f>IF($A27="",0,MIN(1,COUNTIF(Feiertage!$A$4:$A$43,$A27)))</f>
        <v/>
      </c>
      <c r="AC27">
        <f>IF($A27="",0,MIN(1,COUNTIF(Feiertage!$A$4:$A$43,$A27+1)))</f>
        <v/>
      </c>
      <c r="AD27">
        <f>IFERROR(INDEX(Feiertage!$D$4:$D$43,MATCH($A27,Feiertage!$A$4:$A$43,0)),Настройки!$D$34)</f>
        <v/>
      </c>
      <c r="AE27">
        <f>IFERROR(INDEX(Feiertage!$D$4:$D$43,MATCH($A27+1,Feiertage!$A$4:$A$43,0)),Настройки!$D$34)</f>
        <v/>
      </c>
      <c r="AF27">
        <f>IF($W27="",0,MAX(0,MIN($X27,Настройки!$D$25)-MAX($W27,0))+MAX(0,MIN($X27,24)-MAX($W27,Настройки!$D$24)))</f>
        <v/>
      </c>
      <c r="AG27">
        <f>IF($W27="",0,MAX(0,MIN($X27,24+Настройки!$D$25)-MAX($W27,24)))</f>
        <v/>
      </c>
      <c r="AH27">
        <f>IF($W27="",0,MAX(0,MIN($X27,24)-MAX($W27,0)))</f>
        <v/>
      </c>
      <c r="AI27">
        <f>IF($W27="",0,MAX(0,MIN($X27,48)-MAX($W27,24)))</f>
        <v/>
      </c>
      <c r="AJ27">
        <f>($Z27*$AB27*$AH27+$AA27*$AC27*$AI27)*$Y27</f>
        <v/>
      </c>
      <c r="AK27">
        <f>$O27-$AJ27</f>
        <v/>
      </c>
      <c r="AL27">
        <f>$N27-$AJ27</f>
        <v/>
      </c>
      <c r="AM27">
        <f>$M27-(MAX($Z27,$AB27)*$AF27+MAX($AA27,$AC27)*$AG27)*$Y27</f>
        <v/>
      </c>
      <c r="AN27">
        <f>IF($G27="j",Настройки!$D$27,IF($G27="n",Настройки!$D$28,IF(Настройки!$D$29="mit FZA",Настройки!$D$27,Настройки!$D$28)))</f>
        <v/>
      </c>
      <c r="AO27">
        <f>IF($O27=0,Настройки!$D$34,($AB27*$AH27*$AD27+$AC27*$AI27*$AE27)*$Y27/$O27)</f>
        <v/>
      </c>
    </row>
    <row r="28">
      <c r="A28" s="28">
        <f>IF(24&gt;Настройки!$D$6,"",DATE(Настройки!$D$4,Настройки!$D$5,24))</f>
        <v/>
      </c>
      <c r="B28" s="29">
        <f>IF($A28="","",CHOOSE(WEEKDAY($A28,2),"Пн","Вт","Ср","Чт","Пт","Сб","Вс"))</f>
        <v/>
      </c>
      <c r="C28" s="29">
        <f>IF($A28="","",IFERROR(INDEX(Feiertage!$B$4:$B$43,MATCH($A28,Feiertage!$A$4:$A$43,0)),""))</f>
        <v/>
      </c>
      <c r="D28" s="30" t="inlineStr">
        <is>
          <t>TD</t>
        </is>
      </c>
      <c r="E28" s="30" t="inlineStr">
        <is>
          <t>Arbeit</t>
        </is>
      </c>
      <c r="F28" s="30" t="inlineStr"/>
      <c r="G28" s="30" t="inlineStr"/>
      <c r="H28" s="31">
        <f>IF($D28="ND",Настройки!$D$42,IF($D28="TD",Настройки!$D$39,""))</f>
        <v/>
      </c>
      <c r="I28" s="31">
        <f>IF($D28="ND",Настройки!$D$43,IF($D28="TD",Настройки!$D$40,""))</f>
        <v/>
      </c>
      <c r="J28" s="31">
        <f>IF($D28="ND",Настройки!$D$44,IF($D28="TD",Настройки!$D$41,""))</f>
        <v/>
      </c>
      <c r="K28" s="32">
        <f>IF($H28="","",$I28-$H28+IF($I28&lt;=$H28,24,0))</f>
        <v/>
      </c>
      <c r="L28" s="32">
        <f>IF($K28="","",MAX(0,$K28-$J28))</f>
        <v/>
      </c>
      <c r="M28" s="32">
        <f>($AF28+$AG28)*$Y28</f>
        <v/>
      </c>
      <c r="N28" s="32">
        <f>($Z28*$AH28+$AA28*$AI28)*$Y28</f>
        <v/>
      </c>
      <c r="O28" s="32">
        <f>($AB28*$AH28+$AC28*$AI28)*$Y28</f>
        <v/>
      </c>
      <c r="P28" s="32">
        <f>IF($L28="","",MAX(0,$L28-$O28-$AL28-$AM28))</f>
        <v/>
      </c>
      <c r="Q28" s="33">
        <f>ROUND(Настройки!$D$10*($AK28*$AN28+$AJ28*MAX($AN28,Настройки!$D$26)+$AL28*Настройки!$D$26+$AM28*Настройки!$D$23),2)</f>
        <v/>
      </c>
      <c r="R28" s="33">
        <f>IF($E28&lt;&gt;"Arbeit",0,ROUND(MIN(Настройки!$D$10,Настройки!$D$35)*($AK28*MIN($AN28,$AO28)+$AJ28*MIN(MAX($AN28,Настройки!$D$26),$AO28)+$AL28*MIN(Настройки!$D$26,Настройки!$D$33)+$AM28*MIN(Настройки!$D$23,Настройки!$D$32)),2))</f>
        <v/>
      </c>
      <c r="S28" s="33">
        <f>IF($E28&lt;&gt;"Arbeit",0,ROUND(MIN(Настройки!$D$10,Настройки!$D$36)*($AK28*MIN($AN28,$AO28)+$AJ28*MIN(MAX($AN28,Настройки!$D$26),$AO28)+$AL28*MIN(Настройки!$D$26,Настройки!$D$33)+$AM28*MIN(Настройки!$D$23,Настройки!$D$32)),2))</f>
        <v/>
      </c>
      <c r="T28" s="35">
        <f>IF(OR($W28="",$W27=""),"",24+$W28-$X27)</f>
        <v/>
      </c>
      <c r="U28" s="34">
        <f>IF($L28="","",TRIM(IF($L28&gt;10,"смена &gt;10 ч (§ 3 / § 6 ArbZG)  ","")&amp;IF(AND($T28&lt;&gt;"",$T28&lt;11),"отдых &lt;11 ч (§ 5 ArbZG)  ","")&amp;IF(AND($L28&gt;9,$J28&lt;0.75),"перерыв &lt;45 мин (§ 4 ArbZG)  ","")&amp;IF(AND($L28&gt;6,$L28&lt;=9,$J28&lt;0.5),"перерыв &lt;30 мин (§ 4 ArbZG)","")))</f>
        <v/>
      </c>
      <c r="W28">
        <f>IF($H28="","",$H28)</f>
        <v/>
      </c>
      <c r="X28">
        <f>IF($H28="","",$I28+IF($I28&lt;=$H28,24,0))</f>
        <v/>
      </c>
      <c r="Y28">
        <f>IF(OR($K28="",$K28=0),0,$L28/$K28)</f>
        <v/>
      </c>
      <c r="Z28">
        <f>IF($A28="",0,IF(WEEKDAY($A28,2)=7,1,0))</f>
        <v/>
      </c>
      <c r="AA28">
        <f>IF($A28="",0,IF(WEEKDAY($A28+1,2)=7,1,0))</f>
        <v/>
      </c>
      <c r="AB28">
        <f>IF($A28="",0,MIN(1,COUNTIF(Feiertage!$A$4:$A$43,$A28)))</f>
        <v/>
      </c>
      <c r="AC28">
        <f>IF($A28="",0,MIN(1,COUNTIF(Feiertage!$A$4:$A$43,$A28+1)))</f>
        <v/>
      </c>
      <c r="AD28">
        <f>IFERROR(INDEX(Feiertage!$D$4:$D$43,MATCH($A28,Feiertage!$A$4:$A$43,0)),Настройки!$D$34)</f>
        <v/>
      </c>
      <c r="AE28">
        <f>IFERROR(INDEX(Feiertage!$D$4:$D$43,MATCH($A28+1,Feiertage!$A$4:$A$43,0)),Настройки!$D$34)</f>
        <v/>
      </c>
      <c r="AF28">
        <f>IF($W28="",0,MAX(0,MIN($X28,Настройки!$D$25)-MAX($W28,0))+MAX(0,MIN($X28,24)-MAX($W28,Настройки!$D$24)))</f>
        <v/>
      </c>
      <c r="AG28">
        <f>IF($W28="",0,MAX(0,MIN($X28,24+Настройки!$D$25)-MAX($W28,24)))</f>
        <v/>
      </c>
      <c r="AH28">
        <f>IF($W28="",0,MAX(0,MIN($X28,24)-MAX($W28,0)))</f>
        <v/>
      </c>
      <c r="AI28">
        <f>IF($W28="",0,MAX(0,MIN($X28,48)-MAX($W28,24)))</f>
        <v/>
      </c>
      <c r="AJ28">
        <f>($Z28*$AB28*$AH28+$AA28*$AC28*$AI28)*$Y28</f>
        <v/>
      </c>
      <c r="AK28">
        <f>$O28-$AJ28</f>
        <v/>
      </c>
      <c r="AL28">
        <f>$N28-$AJ28</f>
        <v/>
      </c>
      <c r="AM28">
        <f>$M28-(MAX($Z28,$AB28)*$AF28+MAX($AA28,$AC28)*$AG28)*$Y28</f>
        <v/>
      </c>
      <c r="AN28">
        <f>IF($G28="j",Настройки!$D$27,IF($G28="n",Настройки!$D$28,IF(Настройки!$D$29="mit FZA",Настройки!$D$27,Настройки!$D$28)))</f>
        <v/>
      </c>
      <c r="AO28">
        <f>IF($O28=0,Настройки!$D$34,($AB28*$AH28*$AD28+$AC28*$AI28*$AE28)*$Y28/$O28)</f>
        <v/>
      </c>
    </row>
    <row r="29">
      <c r="A29" s="28">
        <f>IF(25&gt;Настройки!$D$6,"",DATE(Настройки!$D$4,Настройки!$D$5,25))</f>
        <v/>
      </c>
      <c r="B29" s="29">
        <f>IF($A29="","",CHOOSE(WEEKDAY($A29,2),"Пн","Вт","Ср","Чт","Пт","Сб","Вс"))</f>
        <v/>
      </c>
      <c r="C29" s="29">
        <f>IF($A29="","",IFERROR(INDEX(Feiertage!$B$4:$B$43,MATCH($A29,Feiertage!$A$4:$A$43,0)),""))</f>
        <v/>
      </c>
      <c r="D29" s="30" t="inlineStr">
        <is>
          <t>TD</t>
        </is>
      </c>
      <c r="E29" s="30" t="inlineStr">
        <is>
          <t>Arbeit</t>
        </is>
      </c>
      <c r="F29" s="30" t="inlineStr">
        <is>
          <t>x</t>
        </is>
      </c>
      <c r="G29" s="30" t="inlineStr"/>
      <c r="H29" s="31">
        <f>IF($D29="ND",Настройки!$D$42,IF($D29="TD",Настройки!$D$39,""))</f>
        <v/>
      </c>
      <c r="I29" s="31">
        <f>IF($D29="ND",Настройки!$D$43,IF($D29="TD",Настройки!$D$40,""))</f>
        <v/>
      </c>
      <c r="J29" s="31">
        <f>IF($D29="ND",Настройки!$D$44,IF($D29="TD",Настройки!$D$41,""))</f>
        <v/>
      </c>
      <c r="K29" s="32">
        <f>IF($H29="","",$I29-$H29+IF($I29&lt;=$H29,24,0))</f>
        <v/>
      </c>
      <c r="L29" s="32">
        <f>IF($K29="","",MAX(0,$K29-$J29))</f>
        <v/>
      </c>
      <c r="M29" s="32">
        <f>($AF29+$AG29)*$Y29</f>
        <v/>
      </c>
      <c r="N29" s="32">
        <f>($Z29*$AH29+$AA29*$AI29)*$Y29</f>
        <v/>
      </c>
      <c r="O29" s="32">
        <f>($AB29*$AH29+$AC29*$AI29)*$Y29</f>
        <v/>
      </c>
      <c r="P29" s="32">
        <f>IF($L29="","",MAX(0,$L29-$O29-$AL29-$AM29))</f>
        <v/>
      </c>
      <c r="Q29" s="33">
        <f>ROUND(Настройки!$D$10*($AK29*$AN29+$AJ29*MAX($AN29,Настройки!$D$26)+$AL29*Настройки!$D$26+$AM29*Настройки!$D$23),2)</f>
        <v/>
      </c>
      <c r="R29" s="33">
        <f>IF($E29&lt;&gt;"Arbeit",0,ROUND(MIN(Настройки!$D$10,Настройки!$D$35)*($AK29*MIN($AN29,$AO29)+$AJ29*MIN(MAX($AN29,Настройки!$D$26),$AO29)+$AL29*MIN(Настройки!$D$26,Настройки!$D$33)+$AM29*MIN(Настройки!$D$23,Настройки!$D$32)),2))</f>
        <v/>
      </c>
      <c r="S29" s="33">
        <f>IF($E29&lt;&gt;"Arbeit",0,ROUND(MIN(Настройки!$D$10,Настройки!$D$36)*($AK29*MIN($AN29,$AO29)+$AJ29*MIN(MAX($AN29,Настройки!$D$26),$AO29)+$AL29*MIN(Настройки!$D$26,Настройки!$D$33)+$AM29*MIN(Настройки!$D$23,Настройки!$D$32)),2))</f>
        <v/>
      </c>
      <c r="T29" s="35">
        <f>IF(OR($W29="",$W28=""),"",24+$W29-$X28)</f>
        <v/>
      </c>
      <c r="U29" s="34">
        <f>IF($L29="","",TRIM(IF($L29&gt;10,"смена &gt;10 ч (§ 3 / § 6 ArbZG)  ","")&amp;IF(AND($T29&lt;&gt;"",$T29&lt;11),"отдых &lt;11 ч (§ 5 ArbZG)  ","")&amp;IF(AND($L29&gt;9,$J29&lt;0.75),"перерыв &lt;45 мин (§ 4 ArbZG)  ","")&amp;IF(AND($L29&gt;6,$L29&lt;=9,$J29&lt;0.5),"перерыв &lt;30 мин (§ 4 ArbZG)","")))</f>
        <v/>
      </c>
      <c r="W29">
        <f>IF($H29="","",$H29)</f>
        <v/>
      </c>
      <c r="X29">
        <f>IF($H29="","",$I29+IF($I29&lt;=$H29,24,0))</f>
        <v/>
      </c>
      <c r="Y29">
        <f>IF(OR($K29="",$K29=0),0,$L29/$K29)</f>
        <v/>
      </c>
      <c r="Z29">
        <f>IF($A29="",0,IF(WEEKDAY($A29,2)=7,1,0))</f>
        <v/>
      </c>
      <c r="AA29">
        <f>IF($A29="",0,IF(WEEKDAY($A29+1,2)=7,1,0))</f>
        <v/>
      </c>
      <c r="AB29">
        <f>IF($A29="",0,MIN(1,COUNTIF(Feiertage!$A$4:$A$43,$A29)))</f>
        <v/>
      </c>
      <c r="AC29">
        <f>IF($A29="",0,MIN(1,COUNTIF(Feiertage!$A$4:$A$43,$A29+1)))</f>
        <v/>
      </c>
      <c r="AD29">
        <f>IFERROR(INDEX(Feiertage!$D$4:$D$43,MATCH($A29,Feiertage!$A$4:$A$43,0)),Настройки!$D$34)</f>
        <v/>
      </c>
      <c r="AE29">
        <f>IFERROR(INDEX(Feiertage!$D$4:$D$43,MATCH($A29+1,Feiertage!$A$4:$A$43,0)),Настройки!$D$34)</f>
        <v/>
      </c>
      <c r="AF29">
        <f>IF($W29="",0,MAX(0,MIN($X29,Настройки!$D$25)-MAX($W29,0))+MAX(0,MIN($X29,24)-MAX($W29,Настройки!$D$24)))</f>
        <v/>
      </c>
      <c r="AG29">
        <f>IF($W29="",0,MAX(0,MIN($X29,24+Настройки!$D$25)-MAX($W29,24)))</f>
        <v/>
      </c>
      <c r="AH29">
        <f>IF($W29="",0,MAX(0,MIN($X29,24)-MAX($W29,0)))</f>
        <v/>
      </c>
      <c r="AI29">
        <f>IF($W29="",0,MAX(0,MIN($X29,48)-MAX($W29,24)))</f>
        <v/>
      </c>
      <c r="AJ29">
        <f>($Z29*$AB29*$AH29+$AA29*$AC29*$AI29)*$Y29</f>
        <v/>
      </c>
      <c r="AK29">
        <f>$O29-$AJ29</f>
        <v/>
      </c>
      <c r="AL29">
        <f>$N29-$AJ29</f>
        <v/>
      </c>
      <c r="AM29">
        <f>$M29-(MAX($Z29,$AB29)*$AF29+MAX($AA29,$AC29)*$AG29)*$Y29</f>
        <v/>
      </c>
      <c r="AN29">
        <f>IF($G29="j",Настройки!$D$27,IF($G29="n",Настройки!$D$28,IF(Настройки!$D$29="mit FZA",Настройки!$D$27,Настройки!$D$28)))</f>
        <v/>
      </c>
      <c r="AO29">
        <f>IF($O29=0,Настройки!$D$34,($AB29*$AH29*$AD29+$AC29*$AI29*$AE29)*$Y29/$O29)</f>
        <v/>
      </c>
    </row>
    <row r="30">
      <c r="A30" s="28">
        <f>IF(26&gt;Настройки!$D$6,"",DATE(Настройки!$D$4,Настройки!$D$5,26))</f>
        <v/>
      </c>
      <c r="B30" s="29">
        <f>IF($A30="","",CHOOSE(WEEKDAY($A30,2),"Пн","Вт","Ср","Чт","Пт","Сб","Вс"))</f>
        <v/>
      </c>
      <c r="C30" s="29">
        <f>IF($A30="","",IFERROR(INDEX(Feiertage!$B$4:$B$43,MATCH($A30,Feiertage!$A$4:$A$43,0)),""))</f>
        <v/>
      </c>
      <c r="D30" s="30" t="inlineStr">
        <is>
          <t>FREI</t>
        </is>
      </c>
      <c r="E30" s="30" t="inlineStr"/>
      <c r="F30" s="30" t="inlineStr"/>
      <c r="G30" s="30" t="inlineStr"/>
      <c r="H30" s="31">
        <f>IF($D30="ND",Настройки!$D$42,IF($D30="TD",Настройки!$D$39,""))</f>
        <v/>
      </c>
      <c r="I30" s="31">
        <f>IF($D30="ND",Настройки!$D$43,IF($D30="TD",Настройки!$D$40,""))</f>
        <v/>
      </c>
      <c r="J30" s="31">
        <f>IF($D30="ND",Настройки!$D$44,IF($D30="TD",Настройки!$D$41,""))</f>
        <v/>
      </c>
      <c r="K30" s="32">
        <f>IF($H30="","",$I30-$H30+IF($I30&lt;=$H30,24,0))</f>
        <v/>
      </c>
      <c r="L30" s="32">
        <f>IF($K30="","",MAX(0,$K30-$J30))</f>
        <v/>
      </c>
      <c r="M30" s="32">
        <f>($AF30+$AG30)*$Y30</f>
        <v/>
      </c>
      <c r="N30" s="32">
        <f>($Z30*$AH30+$AA30*$AI30)*$Y30</f>
        <v/>
      </c>
      <c r="O30" s="32">
        <f>($AB30*$AH30+$AC30*$AI30)*$Y30</f>
        <v/>
      </c>
      <c r="P30" s="32">
        <f>IF($L30="","",MAX(0,$L30-$O30-$AL30-$AM30))</f>
        <v/>
      </c>
      <c r="Q30" s="33">
        <f>ROUND(Настройки!$D$10*($AK30*$AN30+$AJ30*MAX($AN30,Настройки!$D$26)+$AL30*Настройки!$D$26+$AM30*Настройки!$D$23),2)</f>
        <v/>
      </c>
      <c r="R30" s="33">
        <f>IF($E30&lt;&gt;"Arbeit",0,ROUND(MIN(Настройки!$D$10,Настройки!$D$35)*($AK30*MIN($AN30,$AO30)+$AJ30*MIN(MAX($AN30,Настройки!$D$26),$AO30)+$AL30*MIN(Настройки!$D$26,Настройки!$D$33)+$AM30*MIN(Настройки!$D$23,Настройки!$D$32)),2))</f>
        <v/>
      </c>
      <c r="S30" s="33">
        <f>IF($E30&lt;&gt;"Arbeit",0,ROUND(MIN(Настройки!$D$10,Настройки!$D$36)*($AK30*MIN($AN30,$AO30)+$AJ30*MIN(MAX($AN30,Настройки!$D$26),$AO30)+$AL30*MIN(Настройки!$D$26,Настройки!$D$33)+$AM30*MIN(Настройки!$D$23,Настройки!$D$32)),2))</f>
        <v/>
      </c>
      <c r="T30" s="35">
        <f>IF(OR($W30="",$W29=""),"",24+$W30-$X29)</f>
        <v/>
      </c>
      <c r="U30" s="34">
        <f>IF($L30="","",TRIM(IF($L30&gt;10,"смена &gt;10 ч (§ 3 / § 6 ArbZG)  ","")&amp;IF(AND($T30&lt;&gt;"",$T30&lt;11),"отдых &lt;11 ч (§ 5 ArbZG)  ","")&amp;IF(AND($L30&gt;9,$J30&lt;0.75),"перерыв &lt;45 мин (§ 4 ArbZG)  ","")&amp;IF(AND($L30&gt;6,$L30&lt;=9,$J30&lt;0.5),"перерыв &lt;30 мин (§ 4 ArbZG)","")))</f>
        <v/>
      </c>
      <c r="W30">
        <f>IF($H30="","",$H30)</f>
        <v/>
      </c>
      <c r="X30">
        <f>IF($H30="","",$I30+IF($I30&lt;=$H30,24,0))</f>
        <v/>
      </c>
      <c r="Y30">
        <f>IF(OR($K30="",$K30=0),0,$L30/$K30)</f>
        <v/>
      </c>
      <c r="Z30">
        <f>IF($A30="",0,IF(WEEKDAY($A30,2)=7,1,0))</f>
        <v/>
      </c>
      <c r="AA30">
        <f>IF($A30="",0,IF(WEEKDAY($A30+1,2)=7,1,0))</f>
        <v/>
      </c>
      <c r="AB30">
        <f>IF($A30="",0,MIN(1,COUNTIF(Feiertage!$A$4:$A$43,$A30)))</f>
        <v/>
      </c>
      <c r="AC30">
        <f>IF($A30="",0,MIN(1,COUNTIF(Feiertage!$A$4:$A$43,$A30+1)))</f>
        <v/>
      </c>
      <c r="AD30">
        <f>IFERROR(INDEX(Feiertage!$D$4:$D$43,MATCH($A30,Feiertage!$A$4:$A$43,0)),Настройки!$D$34)</f>
        <v/>
      </c>
      <c r="AE30">
        <f>IFERROR(INDEX(Feiertage!$D$4:$D$43,MATCH($A30+1,Feiertage!$A$4:$A$43,0)),Настройки!$D$34)</f>
        <v/>
      </c>
      <c r="AF30">
        <f>IF($W30="",0,MAX(0,MIN($X30,Настройки!$D$25)-MAX($W30,0))+MAX(0,MIN($X30,24)-MAX($W30,Настройки!$D$24)))</f>
        <v/>
      </c>
      <c r="AG30">
        <f>IF($W30="",0,MAX(0,MIN($X30,24+Настройки!$D$25)-MAX($W30,24)))</f>
        <v/>
      </c>
      <c r="AH30">
        <f>IF($W30="",0,MAX(0,MIN($X30,24)-MAX($W30,0)))</f>
        <v/>
      </c>
      <c r="AI30">
        <f>IF($W30="",0,MAX(0,MIN($X30,48)-MAX($W30,24)))</f>
        <v/>
      </c>
      <c r="AJ30">
        <f>($Z30*$AB30*$AH30+$AA30*$AC30*$AI30)*$Y30</f>
        <v/>
      </c>
      <c r="AK30">
        <f>$O30-$AJ30</f>
        <v/>
      </c>
      <c r="AL30">
        <f>$N30-$AJ30</f>
        <v/>
      </c>
      <c r="AM30">
        <f>$M30-(MAX($Z30,$AB30)*$AF30+MAX($AA30,$AC30)*$AG30)*$Y30</f>
        <v/>
      </c>
      <c r="AN30">
        <f>IF($G30="j",Настройки!$D$27,IF($G30="n",Настройки!$D$28,IF(Настройки!$D$29="mit FZA",Настройки!$D$27,Настройки!$D$28)))</f>
        <v/>
      </c>
      <c r="AO30">
        <f>IF($O30=0,Настройки!$D$34,($AB30*$AH30*$AD30+$AC30*$AI30*$AE30)*$Y30/$O30)</f>
        <v/>
      </c>
    </row>
    <row r="31">
      <c r="A31" s="28">
        <f>IF(27&gt;Настройки!$D$6,"",DATE(Настройки!$D$4,Настройки!$D$5,27))</f>
        <v/>
      </c>
      <c r="B31" s="29">
        <f>IF($A31="","",CHOOSE(WEEKDAY($A31,2),"Пн","Вт","Ср","Чт","Пт","Сб","Вс"))</f>
        <v/>
      </c>
      <c r="C31" s="29">
        <f>IF($A31="","",IFERROR(INDEX(Feiertage!$B$4:$B$43,MATCH($A31,Feiertage!$A$4:$A$43,0)),""))</f>
        <v/>
      </c>
      <c r="D31" s="30" t="inlineStr">
        <is>
          <t>TD</t>
        </is>
      </c>
      <c r="E31" s="30" t="inlineStr">
        <is>
          <t>Arbeit</t>
        </is>
      </c>
      <c r="F31" s="30" t="inlineStr"/>
      <c r="G31" s="30" t="inlineStr"/>
      <c r="H31" s="31">
        <f>IF($D31="ND",Настройки!$D$42,IF($D31="TD",Настройки!$D$39,""))</f>
        <v/>
      </c>
      <c r="I31" s="31">
        <f>IF($D31="ND",Настройки!$D$43,IF($D31="TD",Настройки!$D$40,""))</f>
        <v/>
      </c>
      <c r="J31" s="31">
        <f>IF($D31="ND",Настройки!$D$44,IF($D31="TD",Настройки!$D$41,""))</f>
        <v/>
      </c>
      <c r="K31" s="32">
        <f>IF($H31="","",$I31-$H31+IF($I31&lt;=$H31,24,0))</f>
        <v/>
      </c>
      <c r="L31" s="32">
        <f>IF($K31="","",MAX(0,$K31-$J31))</f>
        <v/>
      </c>
      <c r="M31" s="32">
        <f>($AF31+$AG31)*$Y31</f>
        <v/>
      </c>
      <c r="N31" s="32">
        <f>($Z31*$AH31+$AA31*$AI31)*$Y31</f>
        <v/>
      </c>
      <c r="O31" s="32">
        <f>($AB31*$AH31+$AC31*$AI31)*$Y31</f>
        <v/>
      </c>
      <c r="P31" s="32">
        <f>IF($L31="","",MAX(0,$L31-$O31-$AL31-$AM31))</f>
        <v/>
      </c>
      <c r="Q31" s="33">
        <f>ROUND(Настройки!$D$10*($AK31*$AN31+$AJ31*MAX($AN31,Настройки!$D$26)+$AL31*Настройки!$D$26+$AM31*Настройки!$D$23),2)</f>
        <v/>
      </c>
      <c r="R31" s="33">
        <f>IF($E31&lt;&gt;"Arbeit",0,ROUND(MIN(Настройки!$D$10,Настройки!$D$35)*($AK31*MIN($AN31,$AO31)+$AJ31*MIN(MAX($AN31,Настройки!$D$26),$AO31)+$AL31*MIN(Настройки!$D$26,Настройки!$D$33)+$AM31*MIN(Настройки!$D$23,Настройки!$D$32)),2))</f>
        <v/>
      </c>
      <c r="S31" s="33">
        <f>IF($E31&lt;&gt;"Arbeit",0,ROUND(MIN(Настройки!$D$10,Настройки!$D$36)*($AK31*MIN($AN31,$AO31)+$AJ31*MIN(MAX($AN31,Настройки!$D$26),$AO31)+$AL31*MIN(Настройки!$D$26,Настройки!$D$33)+$AM31*MIN(Настройки!$D$23,Настройки!$D$32)),2))</f>
        <v/>
      </c>
      <c r="T31" s="35">
        <f>IF(OR($W31="",$W30=""),"",24+$W31-$X30)</f>
        <v/>
      </c>
      <c r="U31" s="34">
        <f>IF($L31="","",TRIM(IF($L31&gt;10,"смена &gt;10 ч (§ 3 / § 6 ArbZG)  ","")&amp;IF(AND($T31&lt;&gt;"",$T31&lt;11),"отдых &lt;11 ч (§ 5 ArbZG)  ","")&amp;IF(AND($L31&gt;9,$J31&lt;0.75),"перерыв &lt;45 мин (§ 4 ArbZG)  ","")&amp;IF(AND($L31&gt;6,$L31&lt;=9,$J31&lt;0.5),"перерыв &lt;30 мин (§ 4 ArbZG)","")))</f>
        <v/>
      </c>
      <c r="W31">
        <f>IF($H31="","",$H31)</f>
        <v/>
      </c>
      <c r="X31">
        <f>IF($H31="","",$I31+IF($I31&lt;=$H31,24,0))</f>
        <v/>
      </c>
      <c r="Y31">
        <f>IF(OR($K31="",$K31=0),0,$L31/$K31)</f>
        <v/>
      </c>
      <c r="Z31">
        <f>IF($A31="",0,IF(WEEKDAY($A31,2)=7,1,0))</f>
        <v/>
      </c>
      <c r="AA31">
        <f>IF($A31="",0,IF(WEEKDAY($A31+1,2)=7,1,0))</f>
        <v/>
      </c>
      <c r="AB31">
        <f>IF($A31="",0,MIN(1,COUNTIF(Feiertage!$A$4:$A$43,$A31)))</f>
        <v/>
      </c>
      <c r="AC31">
        <f>IF($A31="",0,MIN(1,COUNTIF(Feiertage!$A$4:$A$43,$A31+1)))</f>
        <v/>
      </c>
      <c r="AD31">
        <f>IFERROR(INDEX(Feiertage!$D$4:$D$43,MATCH($A31,Feiertage!$A$4:$A$43,0)),Настройки!$D$34)</f>
        <v/>
      </c>
      <c r="AE31">
        <f>IFERROR(INDEX(Feiertage!$D$4:$D$43,MATCH($A31+1,Feiertage!$A$4:$A$43,0)),Настройки!$D$34)</f>
        <v/>
      </c>
      <c r="AF31">
        <f>IF($W31="",0,MAX(0,MIN($X31,Настройки!$D$25)-MAX($W31,0))+MAX(0,MIN($X31,24)-MAX($W31,Настройки!$D$24)))</f>
        <v/>
      </c>
      <c r="AG31">
        <f>IF($W31="",0,MAX(0,MIN($X31,24+Настройки!$D$25)-MAX($W31,24)))</f>
        <v/>
      </c>
      <c r="AH31">
        <f>IF($W31="",0,MAX(0,MIN($X31,24)-MAX($W31,0)))</f>
        <v/>
      </c>
      <c r="AI31">
        <f>IF($W31="",0,MAX(0,MIN($X31,48)-MAX($W31,24)))</f>
        <v/>
      </c>
      <c r="AJ31">
        <f>($Z31*$AB31*$AH31+$AA31*$AC31*$AI31)*$Y31</f>
        <v/>
      </c>
      <c r="AK31">
        <f>$O31-$AJ31</f>
        <v/>
      </c>
      <c r="AL31">
        <f>$N31-$AJ31</f>
        <v/>
      </c>
      <c r="AM31">
        <f>$M31-(MAX($Z31,$AB31)*$AF31+MAX($AA31,$AC31)*$AG31)*$Y31</f>
        <v/>
      </c>
      <c r="AN31">
        <f>IF($G31="j",Настройки!$D$27,IF($G31="n",Настройки!$D$28,IF(Настройки!$D$29="mit FZA",Настройки!$D$27,Настройки!$D$28)))</f>
        <v/>
      </c>
      <c r="AO31">
        <f>IF($O31=0,Настройки!$D$34,($AB31*$AH31*$AD31+$AC31*$AI31*$AE31)*$Y31/$O31)</f>
        <v/>
      </c>
    </row>
    <row r="32">
      <c r="A32" s="28">
        <f>IF(28&gt;Настройки!$D$6,"",DATE(Настройки!$D$4,Настройки!$D$5,28))</f>
        <v/>
      </c>
      <c r="B32" s="29">
        <f>IF($A32="","",CHOOSE(WEEKDAY($A32,2),"Пн","Вт","Ср","Чт","Пт","Сб","Вс"))</f>
        <v/>
      </c>
      <c r="C32" s="29">
        <f>IF($A32="","",IFERROR(INDEX(Feiertage!$B$4:$B$43,MATCH($A32,Feiertage!$A$4:$A$43,0)),""))</f>
        <v/>
      </c>
      <c r="D32" s="30" t="inlineStr">
        <is>
          <t>TD</t>
        </is>
      </c>
      <c r="E32" s="30" t="inlineStr">
        <is>
          <t>Arbeit</t>
        </is>
      </c>
      <c r="F32" s="30" t="inlineStr"/>
      <c r="G32" s="30" t="inlineStr"/>
      <c r="H32" s="31">
        <f>IF($D32="ND",Настройки!$D$42,IF($D32="TD",Настройки!$D$39,""))</f>
        <v/>
      </c>
      <c r="I32" s="31">
        <f>IF($D32="ND",Настройки!$D$43,IF($D32="TD",Настройки!$D$40,""))</f>
        <v/>
      </c>
      <c r="J32" s="31">
        <f>IF($D32="ND",Настройки!$D$44,IF($D32="TD",Настройки!$D$41,""))</f>
        <v/>
      </c>
      <c r="K32" s="32">
        <f>IF($H32="","",$I32-$H32+IF($I32&lt;=$H32,24,0))</f>
        <v/>
      </c>
      <c r="L32" s="32">
        <f>IF($K32="","",MAX(0,$K32-$J32))</f>
        <v/>
      </c>
      <c r="M32" s="32">
        <f>($AF32+$AG32)*$Y32</f>
        <v/>
      </c>
      <c r="N32" s="32">
        <f>($Z32*$AH32+$AA32*$AI32)*$Y32</f>
        <v/>
      </c>
      <c r="O32" s="32">
        <f>($AB32*$AH32+$AC32*$AI32)*$Y32</f>
        <v/>
      </c>
      <c r="P32" s="32">
        <f>IF($L32="","",MAX(0,$L32-$O32-$AL32-$AM32))</f>
        <v/>
      </c>
      <c r="Q32" s="33">
        <f>ROUND(Настройки!$D$10*($AK32*$AN32+$AJ32*MAX($AN32,Настройки!$D$26)+$AL32*Настройки!$D$26+$AM32*Настройки!$D$23),2)</f>
        <v/>
      </c>
      <c r="R32" s="33">
        <f>IF($E32&lt;&gt;"Arbeit",0,ROUND(MIN(Настройки!$D$10,Настройки!$D$35)*($AK32*MIN($AN32,$AO32)+$AJ32*MIN(MAX($AN32,Настройки!$D$26),$AO32)+$AL32*MIN(Настройки!$D$26,Настройки!$D$33)+$AM32*MIN(Настройки!$D$23,Настройки!$D$32)),2))</f>
        <v/>
      </c>
      <c r="S32" s="33">
        <f>IF($E32&lt;&gt;"Arbeit",0,ROUND(MIN(Настройки!$D$10,Настройки!$D$36)*($AK32*MIN($AN32,$AO32)+$AJ32*MIN(MAX($AN32,Настройки!$D$26),$AO32)+$AL32*MIN(Настройки!$D$26,Настройки!$D$33)+$AM32*MIN(Настройки!$D$23,Настройки!$D$32)),2))</f>
        <v/>
      </c>
      <c r="T32" s="35">
        <f>IF(OR($W32="",$W31=""),"",24+$W32-$X31)</f>
        <v/>
      </c>
      <c r="U32" s="34">
        <f>IF($L32="","",TRIM(IF($L32&gt;10,"смена &gt;10 ч (§ 3 / § 6 ArbZG)  ","")&amp;IF(AND($T32&lt;&gt;"",$T32&lt;11),"отдых &lt;11 ч (§ 5 ArbZG)  ","")&amp;IF(AND($L32&gt;9,$J32&lt;0.75),"перерыв &lt;45 мин (§ 4 ArbZG)  ","")&amp;IF(AND($L32&gt;6,$L32&lt;=9,$J32&lt;0.5),"перерыв &lt;30 мин (§ 4 ArbZG)","")))</f>
        <v/>
      </c>
      <c r="W32">
        <f>IF($H32="","",$H32)</f>
        <v/>
      </c>
      <c r="X32">
        <f>IF($H32="","",$I32+IF($I32&lt;=$H32,24,0))</f>
        <v/>
      </c>
      <c r="Y32">
        <f>IF(OR($K32="",$K32=0),0,$L32/$K32)</f>
        <v/>
      </c>
      <c r="Z32">
        <f>IF($A32="",0,IF(WEEKDAY($A32,2)=7,1,0))</f>
        <v/>
      </c>
      <c r="AA32">
        <f>IF($A32="",0,IF(WEEKDAY($A32+1,2)=7,1,0))</f>
        <v/>
      </c>
      <c r="AB32">
        <f>IF($A32="",0,MIN(1,COUNTIF(Feiertage!$A$4:$A$43,$A32)))</f>
        <v/>
      </c>
      <c r="AC32">
        <f>IF($A32="",0,MIN(1,COUNTIF(Feiertage!$A$4:$A$43,$A32+1)))</f>
        <v/>
      </c>
      <c r="AD32">
        <f>IFERROR(INDEX(Feiertage!$D$4:$D$43,MATCH($A32,Feiertage!$A$4:$A$43,0)),Настройки!$D$34)</f>
        <v/>
      </c>
      <c r="AE32">
        <f>IFERROR(INDEX(Feiertage!$D$4:$D$43,MATCH($A32+1,Feiertage!$A$4:$A$43,0)),Настройки!$D$34)</f>
        <v/>
      </c>
      <c r="AF32">
        <f>IF($W32="",0,MAX(0,MIN($X32,Настройки!$D$25)-MAX($W32,0))+MAX(0,MIN($X32,24)-MAX($W32,Настройки!$D$24)))</f>
        <v/>
      </c>
      <c r="AG32">
        <f>IF($W32="",0,MAX(0,MIN($X32,24+Настройки!$D$25)-MAX($W32,24)))</f>
        <v/>
      </c>
      <c r="AH32">
        <f>IF($W32="",0,MAX(0,MIN($X32,24)-MAX($W32,0)))</f>
        <v/>
      </c>
      <c r="AI32">
        <f>IF($W32="",0,MAX(0,MIN($X32,48)-MAX($W32,24)))</f>
        <v/>
      </c>
      <c r="AJ32">
        <f>($Z32*$AB32*$AH32+$AA32*$AC32*$AI32)*$Y32</f>
        <v/>
      </c>
      <c r="AK32">
        <f>$O32-$AJ32</f>
        <v/>
      </c>
      <c r="AL32">
        <f>$N32-$AJ32</f>
        <v/>
      </c>
      <c r="AM32">
        <f>$M32-(MAX($Z32,$AB32)*$AF32+MAX($AA32,$AC32)*$AG32)*$Y32</f>
        <v/>
      </c>
      <c r="AN32">
        <f>IF($G32="j",Настройки!$D$27,IF($G32="n",Настройки!$D$28,IF(Настройки!$D$29="mit FZA",Настройки!$D$27,Настройки!$D$28)))</f>
        <v/>
      </c>
      <c r="AO32">
        <f>IF($O32=0,Настройки!$D$34,($AB32*$AH32*$AD32+$AC32*$AI32*$AE32)*$Y32/$O32)</f>
        <v/>
      </c>
    </row>
    <row r="33">
      <c r="A33" s="28">
        <f>IF(29&gt;Настройки!$D$6,"",DATE(Настройки!$D$4,Настройки!$D$5,29))</f>
        <v/>
      </c>
      <c r="B33" s="29">
        <f>IF($A33="","",CHOOSE(WEEKDAY($A33,2),"Пн","Вт","Ср","Чт","Пт","Сб","Вс"))</f>
        <v/>
      </c>
      <c r="C33" s="29">
        <f>IF($A33="","",IFERROR(INDEX(Feiertage!$B$4:$B$43,MATCH($A33,Feiertage!$A$4:$A$43,0)),""))</f>
        <v/>
      </c>
      <c r="D33" s="30" t="inlineStr">
        <is>
          <t>TD</t>
        </is>
      </c>
      <c r="E33" s="30" t="inlineStr">
        <is>
          <t>Arbeit</t>
        </is>
      </c>
      <c r="F33" s="30" t="inlineStr"/>
      <c r="G33" s="30" t="inlineStr"/>
      <c r="H33" s="31">
        <f>IF($D33="ND",Настройки!$D$42,IF($D33="TD",Настройки!$D$39,""))</f>
        <v/>
      </c>
      <c r="I33" s="31">
        <f>IF($D33="ND",Настройки!$D$43,IF($D33="TD",Настройки!$D$40,""))</f>
        <v/>
      </c>
      <c r="J33" s="31">
        <f>IF($D33="ND",Настройки!$D$44,IF($D33="TD",Настройки!$D$41,""))</f>
        <v/>
      </c>
      <c r="K33" s="32">
        <f>IF($H33="","",$I33-$H33+IF($I33&lt;=$H33,24,0))</f>
        <v/>
      </c>
      <c r="L33" s="32">
        <f>IF($K33="","",MAX(0,$K33-$J33))</f>
        <v/>
      </c>
      <c r="M33" s="32">
        <f>($AF33+$AG33)*$Y33</f>
        <v/>
      </c>
      <c r="N33" s="32">
        <f>($Z33*$AH33+$AA33*$AI33)*$Y33</f>
        <v/>
      </c>
      <c r="O33" s="32">
        <f>($AB33*$AH33+$AC33*$AI33)*$Y33</f>
        <v/>
      </c>
      <c r="P33" s="32">
        <f>IF($L33="","",MAX(0,$L33-$O33-$AL33-$AM33))</f>
        <v/>
      </c>
      <c r="Q33" s="33">
        <f>ROUND(Настройки!$D$10*($AK33*$AN33+$AJ33*MAX($AN33,Настройки!$D$26)+$AL33*Настройки!$D$26+$AM33*Настройки!$D$23),2)</f>
        <v/>
      </c>
      <c r="R33" s="33">
        <f>IF($E33&lt;&gt;"Arbeit",0,ROUND(MIN(Настройки!$D$10,Настройки!$D$35)*($AK33*MIN($AN33,$AO33)+$AJ33*MIN(MAX($AN33,Настройки!$D$26),$AO33)+$AL33*MIN(Настройки!$D$26,Настройки!$D$33)+$AM33*MIN(Настройки!$D$23,Настройки!$D$32)),2))</f>
        <v/>
      </c>
      <c r="S33" s="33">
        <f>IF($E33&lt;&gt;"Arbeit",0,ROUND(MIN(Настройки!$D$10,Настройки!$D$36)*($AK33*MIN($AN33,$AO33)+$AJ33*MIN(MAX($AN33,Настройки!$D$26),$AO33)+$AL33*MIN(Настройки!$D$26,Настройки!$D$33)+$AM33*MIN(Настройки!$D$23,Настройки!$D$32)),2))</f>
        <v/>
      </c>
      <c r="T33" s="35">
        <f>IF(OR($W33="",$W32=""),"",24+$W33-$X32)</f>
        <v/>
      </c>
      <c r="U33" s="34">
        <f>IF($L33="","",TRIM(IF($L33&gt;10,"смена &gt;10 ч (§ 3 / § 6 ArbZG)  ","")&amp;IF(AND($T33&lt;&gt;"",$T33&lt;11),"отдых &lt;11 ч (§ 5 ArbZG)  ","")&amp;IF(AND($L33&gt;9,$J33&lt;0.75),"перерыв &lt;45 мин (§ 4 ArbZG)  ","")&amp;IF(AND($L33&gt;6,$L33&lt;=9,$J33&lt;0.5),"перерыв &lt;30 мин (§ 4 ArbZG)","")))</f>
        <v/>
      </c>
      <c r="W33">
        <f>IF($H33="","",$H33)</f>
        <v/>
      </c>
      <c r="X33">
        <f>IF($H33="","",$I33+IF($I33&lt;=$H33,24,0))</f>
        <v/>
      </c>
      <c r="Y33">
        <f>IF(OR($K33="",$K33=0),0,$L33/$K33)</f>
        <v/>
      </c>
      <c r="Z33">
        <f>IF($A33="",0,IF(WEEKDAY($A33,2)=7,1,0))</f>
        <v/>
      </c>
      <c r="AA33">
        <f>IF($A33="",0,IF(WEEKDAY($A33+1,2)=7,1,0))</f>
        <v/>
      </c>
      <c r="AB33">
        <f>IF($A33="",0,MIN(1,COUNTIF(Feiertage!$A$4:$A$43,$A33)))</f>
        <v/>
      </c>
      <c r="AC33">
        <f>IF($A33="",0,MIN(1,COUNTIF(Feiertage!$A$4:$A$43,$A33+1)))</f>
        <v/>
      </c>
      <c r="AD33">
        <f>IFERROR(INDEX(Feiertage!$D$4:$D$43,MATCH($A33,Feiertage!$A$4:$A$43,0)),Настройки!$D$34)</f>
        <v/>
      </c>
      <c r="AE33">
        <f>IFERROR(INDEX(Feiertage!$D$4:$D$43,MATCH($A33+1,Feiertage!$A$4:$A$43,0)),Настройки!$D$34)</f>
        <v/>
      </c>
      <c r="AF33">
        <f>IF($W33="",0,MAX(0,MIN($X33,Настройки!$D$25)-MAX($W33,0))+MAX(0,MIN($X33,24)-MAX($W33,Настройки!$D$24)))</f>
        <v/>
      </c>
      <c r="AG33">
        <f>IF($W33="",0,MAX(0,MIN($X33,24+Настройки!$D$25)-MAX($W33,24)))</f>
        <v/>
      </c>
      <c r="AH33">
        <f>IF($W33="",0,MAX(0,MIN($X33,24)-MAX($W33,0)))</f>
        <v/>
      </c>
      <c r="AI33">
        <f>IF($W33="",0,MAX(0,MIN($X33,48)-MAX($W33,24)))</f>
        <v/>
      </c>
      <c r="AJ33">
        <f>($Z33*$AB33*$AH33+$AA33*$AC33*$AI33)*$Y33</f>
        <v/>
      </c>
      <c r="AK33">
        <f>$O33-$AJ33</f>
        <v/>
      </c>
      <c r="AL33">
        <f>$N33-$AJ33</f>
        <v/>
      </c>
      <c r="AM33">
        <f>$M33-(MAX($Z33,$AB33)*$AF33+MAX($AA33,$AC33)*$AG33)*$Y33</f>
        <v/>
      </c>
      <c r="AN33">
        <f>IF($G33="j",Настройки!$D$27,IF($G33="n",Настройки!$D$28,IF(Настройки!$D$29="mit FZA",Настройки!$D$27,Настройки!$D$28)))</f>
        <v/>
      </c>
      <c r="AO33">
        <f>IF($O33=0,Настройки!$D$34,($AB33*$AH33*$AD33+$AC33*$AI33*$AE33)*$Y33/$O33)</f>
        <v/>
      </c>
    </row>
    <row r="34">
      <c r="A34" s="28">
        <f>IF(30&gt;Настройки!$D$6,"",DATE(Настройки!$D$4,Настройки!$D$5,30))</f>
        <v/>
      </c>
      <c r="B34" s="29">
        <f>IF($A34="","",CHOOSE(WEEKDAY($A34,2),"Пн","Вт","Ср","Чт","Пт","Сб","Вс"))</f>
        <v/>
      </c>
      <c r="C34" s="29">
        <f>IF($A34="","",IFERROR(INDEX(Feiertage!$B$4:$B$43,MATCH($A34,Feiertage!$A$4:$A$43,0)),""))</f>
        <v/>
      </c>
      <c r="D34" s="30" t="inlineStr">
        <is>
          <t>TD</t>
        </is>
      </c>
      <c r="E34" s="30" t="inlineStr">
        <is>
          <t>Arbeit</t>
        </is>
      </c>
      <c r="F34" s="30" t="inlineStr"/>
      <c r="G34" s="30" t="inlineStr"/>
      <c r="H34" s="31">
        <f>IF($D34="ND",Настройки!$D$42,IF($D34="TD",Настройки!$D$39,""))</f>
        <v/>
      </c>
      <c r="I34" s="31">
        <f>IF($D34="ND",Настройки!$D$43,IF($D34="TD",Настройки!$D$40,""))</f>
        <v/>
      </c>
      <c r="J34" s="31">
        <f>IF($D34="ND",Настройки!$D$44,IF($D34="TD",Настройки!$D$41,""))</f>
        <v/>
      </c>
      <c r="K34" s="32">
        <f>IF($H34="","",$I34-$H34+IF($I34&lt;=$H34,24,0))</f>
        <v/>
      </c>
      <c r="L34" s="32">
        <f>IF($K34="","",MAX(0,$K34-$J34))</f>
        <v/>
      </c>
      <c r="M34" s="32">
        <f>($AF34+$AG34)*$Y34</f>
        <v/>
      </c>
      <c r="N34" s="32">
        <f>($Z34*$AH34+$AA34*$AI34)*$Y34</f>
        <v/>
      </c>
      <c r="O34" s="32">
        <f>($AB34*$AH34+$AC34*$AI34)*$Y34</f>
        <v/>
      </c>
      <c r="P34" s="32">
        <f>IF($L34="","",MAX(0,$L34-$O34-$AL34-$AM34))</f>
        <v/>
      </c>
      <c r="Q34" s="33">
        <f>ROUND(Настройки!$D$10*($AK34*$AN34+$AJ34*MAX($AN34,Настройки!$D$26)+$AL34*Настройки!$D$26+$AM34*Настройки!$D$23),2)</f>
        <v/>
      </c>
      <c r="R34" s="33">
        <f>IF($E34&lt;&gt;"Arbeit",0,ROUND(MIN(Настройки!$D$10,Настройки!$D$35)*($AK34*MIN($AN34,$AO34)+$AJ34*MIN(MAX($AN34,Настройки!$D$26),$AO34)+$AL34*MIN(Настройки!$D$26,Настройки!$D$33)+$AM34*MIN(Настройки!$D$23,Настройки!$D$32)),2))</f>
        <v/>
      </c>
      <c r="S34" s="33">
        <f>IF($E34&lt;&gt;"Arbeit",0,ROUND(MIN(Настройки!$D$10,Настройки!$D$36)*($AK34*MIN($AN34,$AO34)+$AJ34*MIN(MAX($AN34,Настройки!$D$26),$AO34)+$AL34*MIN(Настройки!$D$26,Настройки!$D$33)+$AM34*MIN(Настройки!$D$23,Настройки!$D$32)),2))</f>
        <v/>
      </c>
      <c r="T34" s="35">
        <f>IF(OR($W34="",$W33=""),"",24+$W34-$X33)</f>
        <v/>
      </c>
      <c r="U34" s="34">
        <f>IF($L34="","",TRIM(IF($L34&gt;10,"смена &gt;10 ч (§ 3 / § 6 ArbZG)  ","")&amp;IF(AND($T34&lt;&gt;"",$T34&lt;11),"отдых &lt;11 ч (§ 5 ArbZG)  ","")&amp;IF(AND($L34&gt;9,$J34&lt;0.75),"перерыв &lt;45 мин (§ 4 ArbZG)  ","")&amp;IF(AND($L34&gt;6,$L34&lt;=9,$J34&lt;0.5),"перерыв &lt;30 мин (§ 4 ArbZG)","")))</f>
        <v/>
      </c>
      <c r="W34">
        <f>IF($H34="","",$H34)</f>
        <v/>
      </c>
      <c r="X34">
        <f>IF($H34="","",$I34+IF($I34&lt;=$H34,24,0))</f>
        <v/>
      </c>
      <c r="Y34">
        <f>IF(OR($K34="",$K34=0),0,$L34/$K34)</f>
        <v/>
      </c>
      <c r="Z34">
        <f>IF($A34="",0,IF(WEEKDAY($A34,2)=7,1,0))</f>
        <v/>
      </c>
      <c r="AA34">
        <f>IF($A34="",0,IF(WEEKDAY($A34+1,2)=7,1,0))</f>
        <v/>
      </c>
      <c r="AB34">
        <f>IF($A34="",0,MIN(1,COUNTIF(Feiertage!$A$4:$A$43,$A34)))</f>
        <v/>
      </c>
      <c r="AC34">
        <f>IF($A34="",0,MIN(1,COUNTIF(Feiertage!$A$4:$A$43,$A34+1)))</f>
        <v/>
      </c>
      <c r="AD34">
        <f>IFERROR(INDEX(Feiertage!$D$4:$D$43,MATCH($A34,Feiertage!$A$4:$A$43,0)),Настройки!$D$34)</f>
        <v/>
      </c>
      <c r="AE34">
        <f>IFERROR(INDEX(Feiertage!$D$4:$D$43,MATCH($A34+1,Feiertage!$A$4:$A$43,0)),Настройки!$D$34)</f>
        <v/>
      </c>
      <c r="AF34">
        <f>IF($W34="",0,MAX(0,MIN($X34,Настройки!$D$25)-MAX($W34,0))+MAX(0,MIN($X34,24)-MAX($W34,Настройки!$D$24)))</f>
        <v/>
      </c>
      <c r="AG34">
        <f>IF($W34="",0,MAX(0,MIN($X34,24+Настройки!$D$25)-MAX($W34,24)))</f>
        <v/>
      </c>
      <c r="AH34">
        <f>IF($W34="",0,MAX(0,MIN($X34,24)-MAX($W34,0)))</f>
        <v/>
      </c>
      <c r="AI34">
        <f>IF($W34="",0,MAX(0,MIN($X34,48)-MAX($W34,24)))</f>
        <v/>
      </c>
      <c r="AJ34">
        <f>($Z34*$AB34*$AH34+$AA34*$AC34*$AI34)*$Y34</f>
        <v/>
      </c>
      <c r="AK34">
        <f>$O34-$AJ34</f>
        <v/>
      </c>
      <c r="AL34">
        <f>$N34-$AJ34</f>
        <v/>
      </c>
      <c r="AM34">
        <f>$M34-(MAX($Z34,$AB34)*$AF34+MAX($AA34,$AC34)*$AG34)*$Y34</f>
        <v/>
      </c>
      <c r="AN34">
        <f>IF($G34="j",Настройки!$D$27,IF($G34="n",Настройки!$D$28,IF(Настройки!$D$29="mit FZA",Настройки!$D$27,Настройки!$D$28)))</f>
        <v/>
      </c>
      <c r="AO34">
        <f>IF($O34=0,Настройки!$D$34,($AB34*$AH34*$AD34+$AC34*$AI34*$AE34)*$Y34/$O34)</f>
        <v/>
      </c>
    </row>
    <row r="35">
      <c r="A35" s="28">
        <f>IF(31&gt;Настройки!$D$6,"",DATE(Настройки!$D$4,Настройки!$D$5,31))</f>
        <v/>
      </c>
      <c r="B35" s="29">
        <f>IF($A35="","",CHOOSE(WEEKDAY($A35,2),"Пн","Вт","Ср","Чт","Пт","Сб","Вс"))</f>
        <v/>
      </c>
      <c r="C35" s="29">
        <f>IF($A35="","",IFERROR(INDEX(Feiertage!$B$4:$B$43,MATCH($A35,Feiertage!$A$4:$A$43,0)),""))</f>
        <v/>
      </c>
      <c r="D35" s="30" t="inlineStr">
        <is>
          <t>FREI</t>
        </is>
      </c>
      <c r="E35" s="30" t="inlineStr"/>
      <c r="F35" s="30" t="inlineStr"/>
      <c r="G35" s="30" t="inlineStr"/>
      <c r="H35" s="31">
        <f>IF($D35="ND",Настройки!$D$42,IF($D35="TD",Настройки!$D$39,""))</f>
        <v/>
      </c>
      <c r="I35" s="31">
        <f>IF($D35="ND",Настройки!$D$43,IF($D35="TD",Настройки!$D$40,""))</f>
        <v/>
      </c>
      <c r="J35" s="31">
        <f>IF($D35="ND",Настройки!$D$44,IF($D35="TD",Настройки!$D$41,""))</f>
        <v/>
      </c>
      <c r="K35" s="32">
        <f>IF($H35="","",$I35-$H35+IF($I35&lt;=$H35,24,0))</f>
        <v/>
      </c>
      <c r="L35" s="32">
        <f>IF($K35="","",MAX(0,$K35-$J35))</f>
        <v/>
      </c>
      <c r="M35" s="32">
        <f>($AF35+$AG35)*$Y35</f>
        <v/>
      </c>
      <c r="N35" s="32">
        <f>($Z35*$AH35+$AA35*$AI35)*$Y35</f>
        <v/>
      </c>
      <c r="O35" s="32">
        <f>($AB35*$AH35+$AC35*$AI35)*$Y35</f>
        <v/>
      </c>
      <c r="P35" s="32">
        <f>IF($L35="","",MAX(0,$L35-$O35-$AL35-$AM35))</f>
        <v/>
      </c>
      <c r="Q35" s="33">
        <f>ROUND(Настройки!$D$10*($AK35*$AN35+$AJ35*MAX($AN35,Настройки!$D$26)+$AL35*Настройки!$D$26+$AM35*Настройки!$D$23),2)</f>
        <v/>
      </c>
      <c r="R35" s="33">
        <f>IF($E35&lt;&gt;"Arbeit",0,ROUND(MIN(Настройки!$D$10,Настройки!$D$35)*($AK35*MIN($AN35,$AO35)+$AJ35*MIN(MAX($AN35,Настройки!$D$26),$AO35)+$AL35*MIN(Настройки!$D$26,Настройки!$D$33)+$AM35*MIN(Настройки!$D$23,Настройки!$D$32)),2))</f>
        <v/>
      </c>
      <c r="S35" s="33">
        <f>IF($E35&lt;&gt;"Arbeit",0,ROUND(MIN(Настройки!$D$10,Настройки!$D$36)*($AK35*MIN($AN35,$AO35)+$AJ35*MIN(MAX($AN35,Настройки!$D$26),$AO35)+$AL35*MIN(Настройки!$D$26,Настройки!$D$33)+$AM35*MIN(Настройки!$D$23,Настройки!$D$32)),2))</f>
        <v/>
      </c>
      <c r="T35" s="35">
        <f>IF(OR($W35="",$W34=""),"",24+$W35-$X34)</f>
        <v/>
      </c>
      <c r="U35" s="34">
        <f>IF($L35="","",TRIM(IF($L35&gt;10,"смена &gt;10 ч (§ 3 / § 6 ArbZG)  ","")&amp;IF(AND($T35&lt;&gt;"",$T35&lt;11),"отдых &lt;11 ч (§ 5 ArbZG)  ","")&amp;IF(AND($L35&gt;9,$J35&lt;0.75),"перерыв &lt;45 мин (§ 4 ArbZG)  ","")&amp;IF(AND($L35&gt;6,$L35&lt;=9,$J35&lt;0.5),"перерыв &lt;30 мин (§ 4 ArbZG)","")))</f>
        <v/>
      </c>
      <c r="W35">
        <f>IF($H35="","",$H35)</f>
        <v/>
      </c>
      <c r="X35">
        <f>IF($H35="","",$I35+IF($I35&lt;=$H35,24,0))</f>
        <v/>
      </c>
      <c r="Y35">
        <f>IF(OR($K35="",$K35=0),0,$L35/$K35)</f>
        <v/>
      </c>
      <c r="Z35">
        <f>IF($A35="",0,IF(WEEKDAY($A35,2)=7,1,0))</f>
        <v/>
      </c>
      <c r="AA35">
        <f>IF($A35="",0,IF(WEEKDAY($A35+1,2)=7,1,0))</f>
        <v/>
      </c>
      <c r="AB35">
        <f>IF($A35="",0,MIN(1,COUNTIF(Feiertage!$A$4:$A$43,$A35)))</f>
        <v/>
      </c>
      <c r="AC35">
        <f>IF($A35="",0,MIN(1,COUNTIF(Feiertage!$A$4:$A$43,$A35+1)))</f>
        <v/>
      </c>
      <c r="AD35">
        <f>IFERROR(INDEX(Feiertage!$D$4:$D$43,MATCH($A35,Feiertage!$A$4:$A$43,0)),Настройки!$D$34)</f>
        <v/>
      </c>
      <c r="AE35">
        <f>IFERROR(INDEX(Feiertage!$D$4:$D$43,MATCH($A35+1,Feiertage!$A$4:$A$43,0)),Настройки!$D$34)</f>
        <v/>
      </c>
      <c r="AF35">
        <f>IF($W35="",0,MAX(0,MIN($X35,Настройки!$D$25)-MAX($W35,0))+MAX(0,MIN($X35,24)-MAX($W35,Настройки!$D$24)))</f>
        <v/>
      </c>
      <c r="AG35">
        <f>IF($W35="",0,MAX(0,MIN($X35,24+Настройки!$D$25)-MAX($W35,24)))</f>
        <v/>
      </c>
      <c r="AH35">
        <f>IF($W35="",0,MAX(0,MIN($X35,24)-MAX($W35,0)))</f>
        <v/>
      </c>
      <c r="AI35">
        <f>IF($W35="",0,MAX(0,MIN($X35,48)-MAX($W35,24)))</f>
        <v/>
      </c>
      <c r="AJ35">
        <f>($Z35*$AB35*$AH35+$AA35*$AC35*$AI35)*$Y35</f>
        <v/>
      </c>
      <c r="AK35">
        <f>$O35-$AJ35</f>
        <v/>
      </c>
      <c r="AL35">
        <f>$N35-$AJ35</f>
        <v/>
      </c>
      <c r="AM35">
        <f>$M35-(MAX($Z35,$AB35)*$AF35+MAX($AA35,$AC35)*$AG35)*$Y35</f>
        <v/>
      </c>
      <c r="AN35">
        <f>IF($G35="j",Настройки!$D$27,IF($G35="n",Настройки!$D$28,IF(Настройки!$D$29="mit FZA",Настройки!$D$27,Настройки!$D$28)))</f>
        <v/>
      </c>
      <c r="AO35">
        <f>IF($O35=0,Настройки!$D$34,($AB35*$AH35*$AD35+$AC35*$AI35*$AE35)*$Y35/$O35)</f>
        <v/>
      </c>
    </row>
    <row r="36" ht="22" customHeight="1">
      <c r="A36" s="36" t="inlineStr">
        <is>
          <t>ИТОГО ЗА МЕСЯЦ</t>
        </is>
      </c>
      <c r="B36" s="36" t="n"/>
      <c r="C36" s="36" t="n"/>
      <c r="D36" s="36" t="n"/>
      <c r="E36" s="36" t="n"/>
      <c r="F36" s="37">
        <f>COUNTIF(F5:F35,"x")</f>
        <v/>
      </c>
      <c r="G36" s="38" t="n"/>
      <c r="H36" s="38" t="n"/>
      <c r="I36" s="38" t="n"/>
      <c r="J36" s="38" t="n"/>
      <c r="K36" s="39">
        <f>SUM(K5:K35)</f>
        <v/>
      </c>
      <c r="L36" s="39">
        <f>SUM(L5:L35)</f>
        <v/>
      </c>
      <c r="M36" s="39">
        <f>SUM(M5:M35)</f>
        <v/>
      </c>
      <c r="N36" s="39">
        <f>SUM(N5:N35)</f>
        <v/>
      </c>
      <c r="O36" s="39">
        <f>SUM(O5:O35)</f>
        <v/>
      </c>
      <c r="P36" s="39">
        <f>SUM(P5:P35)</f>
        <v/>
      </c>
      <c r="Q36" s="40">
        <f>SUM(Q5:Q35)</f>
        <v/>
      </c>
      <c r="R36" s="40">
        <f>SUM(R5:R35)</f>
        <v/>
      </c>
      <c r="S36" s="40">
        <f>SUM(S5:S35)</f>
        <v/>
      </c>
      <c r="T36" s="38" t="n"/>
      <c r="U36" s="38" t="n"/>
      <c r="AJ36" s="41">
        <f>SUM(AJ5:AJ35)</f>
        <v/>
      </c>
      <c r="AK36" s="41">
        <f>SUM(AK5:AK35)</f>
        <v/>
      </c>
      <c r="AL36" s="41">
        <f>SUM(AL5:AL35)</f>
        <v/>
      </c>
      <c r="AM36" s="41">
        <f>SUM(AM5:AM35)</f>
        <v/>
      </c>
    </row>
  </sheetData>
  <mergeCells count="3">
    <mergeCell ref="A1:U1"/>
    <mergeCell ref="A36:E36"/>
    <mergeCell ref="A2:U2"/>
  </mergeCells>
  <conditionalFormatting sqref="U5:U35">
    <cfRule type="expression" priority="1" dxfId="0">
      <formula>LEN($U5)&gt;0</formula>
    </cfRule>
  </conditionalFormatting>
  <conditionalFormatting sqref="A5:C35">
    <cfRule type="expression" priority="2" dxfId="1">
      <formula>WEEKDAY($A5,2)&gt;5</formula>
    </cfRule>
  </conditionalFormatting>
  <dataValidations count="4">
    <dataValidation sqref="D5:D35" showDropDown="0" showInputMessage="0" showErrorMessage="0" allowBlank="1" type="list">
      <formula1>"ND,TD,FREI"</formula1>
    </dataValidation>
    <dataValidation sqref="E5:E35" showDropDown="0" showInputMessage="0" showErrorMessage="0" allowBlank="1" type="list">
      <formula1>"Arbeit,Urlaub,Krank,Fortbildung"</formula1>
    </dataValidation>
    <dataValidation sqref="F5:F35" showDropDown="0" showInputMessage="0" showErrorMessage="0" allowBlank="1" type="list">
      <formula1>"x"</formula1>
    </dataValidation>
    <dataValidation sqref="G5:G35" showDropDown="0" showInputMessage="0" showErrorMessage="0" allowBlank="1" type="list">
      <formula1>"j,n"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40" customWidth="1" min="3" max="3"/>
    <col width="16" customWidth="1" min="4" max="4"/>
    <col width="62" customWidth="1" min="5" max="5"/>
  </cols>
  <sheetData>
    <row r="1" ht="26" customHeight="1">
      <c r="A1" s="1" t="inlineStr">
        <is>
          <t>РАСЧЁТ ЗАРПЛАТЫ ЗА МЕСЯЦ / GEHALTSABRECHNUNG</t>
        </is>
      </c>
    </row>
    <row r="2">
      <c r="B2" s="27">
        <f>CONCATENATE("Месяц: ",CHOOSE(Настройки!$D$5,"Январь","Февраль","Март","Апрель","Май","Июнь","Июль","Август","Сентябрь","Октябрь","Ноябрь","Декабрь")," ",Настройки!$D$4,"   ·   Alisher Karimov   ·   Constantia Intensivpflege GmbH")</f>
        <v/>
      </c>
    </row>
    <row r="4" ht="19" customHeight="1">
      <c r="B4" s="42" t="inlineStr">
        <is>
          <t>A. ЧАСЫ / ARBEITSZEIT</t>
        </is>
      </c>
    </row>
    <row r="5">
      <c r="B5" s="43" t="inlineStr">
        <is>
          <t>Отработано часов (факт)</t>
        </is>
      </c>
      <c r="C5" s="6" t="inlineStr">
        <is>
          <t>Ist-Stunden</t>
        </is>
      </c>
      <c r="D5" s="44">
        <f>Dienstplan!L36</f>
        <v/>
      </c>
      <c r="E5" s="8" t="inlineStr">
        <is>
          <t>Сумма с листа Dienstplan, включая дни отпуска и болезни</t>
        </is>
      </c>
    </row>
    <row r="6">
      <c r="B6" s="43" t="inlineStr">
        <is>
          <t>Плановая норма месяца</t>
        </is>
      </c>
      <c r="C6" s="6" t="inlineStr">
        <is>
          <t>Sollstunden</t>
        </is>
      </c>
      <c r="D6" s="44">
        <f>ROUND(Настройки!$D$12*Настройки!$D$20,2)</f>
        <v/>
      </c>
      <c r="E6" s="8" t="inlineStr">
        <is>
          <t>оклад / ставка = 173,20 ч</t>
        </is>
      </c>
    </row>
    <row r="7">
      <c r="B7" s="43" t="inlineStr">
        <is>
          <t>Разница за месяц</t>
        </is>
      </c>
      <c r="C7" s="6" t="inlineStr">
        <is>
          <t>Differenz</t>
        </is>
      </c>
      <c r="D7" s="44">
        <f>D5-D6</f>
        <v/>
      </c>
      <c r="E7" s="8" t="inlineStr">
        <is>
          <t>«+» переработка, «−» недоработка (оклад платится полностью)</t>
        </is>
      </c>
    </row>
    <row r="8">
      <c r="B8" s="43" t="inlineStr">
        <is>
          <t>Ночных часов</t>
        </is>
      </c>
      <c r="C8" s="6" t="inlineStr">
        <is>
          <t>Nachtstunden</t>
        </is>
      </c>
      <c r="D8" s="44">
        <f>Dienstplan!M36</f>
        <v/>
      </c>
      <c r="E8" s="8" t="inlineStr">
        <is>
          <t>20:00–06:00</t>
        </is>
      </c>
    </row>
    <row r="9">
      <c r="B9" s="43" t="inlineStr">
        <is>
          <t>Воскресных часов</t>
        </is>
      </c>
      <c r="C9" s="6" t="inlineStr">
        <is>
          <t>Sonntagsstunden</t>
        </is>
      </c>
      <c r="D9" s="44">
        <f>Dienstplan!N36</f>
        <v/>
      </c>
      <c r="E9" s="8" t="inlineStr"/>
    </row>
    <row r="10">
      <c r="B10" s="43" t="inlineStr">
        <is>
          <t>Праздничных часов</t>
        </is>
      </c>
      <c r="C10" s="6" t="inlineStr">
        <is>
          <t>Feiertagsstunden</t>
        </is>
      </c>
      <c r="D10" s="44">
        <f>Dienstplan!O36</f>
        <v/>
      </c>
      <c r="E10" s="8" t="inlineStr"/>
    </row>
    <row r="11">
      <c r="B11" s="43" t="inlineStr">
        <is>
          <t>Смен «Eingesprungen»</t>
        </is>
      </c>
      <c r="C11" s="6" t="inlineStr">
        <is>
          <t>Einspringdienste</t>
        </is>
      </c>
      <c r="D11" s="45">
        <f>Dienstplan!F36</f>
        <v/>
      </c>
      <c r="E11" s="8" t="inlineStr"/>
    </row>
    <row r="12">
      <c r="B12" s="46" t="n"/>
    </row>
    <row r="13" ht="19" customHeight="1">
      <c r="B13" s="42" t="inlineStr">
        <is>
          <t>B. СЧЁТ ЧАСОВ / ARBEITSZEITKONTO</t>
        </is>
      </c>
    </row>
    <row r="14">
      <c r="B14" s="43" t="inlineStr">
        <is>
          <t>Перенос из прошлого месяца</t>
        </is>
      </c>
      <c r="C14" s="6" t="inlineStr">
        <is>
          <t>Übertrag aus Vormonat</t>
        </is>
      </c>
      <c r="D14" s="44">
        <f>Настройки!$D$18</f>
        <v/>
      </c>
      <c r="E14" s="8" t="inlineStr">
        <is>
          <t>Впиши на листе «Настройки»</t>
        </is>
      </c>
    </row>
    <row r="15">
      <c r="B15" s="43" t="inlineStr">
        <is>
          <t>Счёт часов до выплаты</t>
        </is>
      </c>
      <c r="C15" s="6" t="inlineStr">
        <is>
          <t>Stundenkonto vor Auszahlung</t>
        </is>
      </c>
      <c r="D15" s="44">
        <f>D14+D7</f>
        <v/>
      </c>
      <c r="E15" s="8" t="inlineStr"/>
    </row>
    <row r="16">
      <c r="B16" s="43" t="inlineStr">
        <is>
          <t>Пропадает: включено в оклад</t>
        </is>
      </c>
      <c r="C16" s="6" t="inlineStr">
        <is>
          <t>pauschal abgegolten (§ 2 Abs. 3)</t>
        </is>
      </c>
      <c r="D16" s="44">
        <f>MIN(MAX(0,D7),Настройки!$D$14)</f>
        <v/>
      </c>
      <c r="E16" s="8" t="inlineStr">
        <is>
          <t>8 ч/мес — единственное, что договор разрешает не оплачивать</t>
        </is>
      </c>
    </row>
    <row r="17">
      <c r="B17" s="43" t="inlineStr">
        <is>
          <t>Доступно к оплате</t>
        </is>
      </c>
      <c r="C17" s="6" t="inlineStr">
        <is>
          <t>auszahlbar</t>
        </is>
      </c>
      <c r="D17" s="44">
        <f>MAX(0,D15-D16)</f>
        <v/>
      </c>
      <c r="E17" s="8" t="inlineStr">
        <is>
          <t>Отрицательный счёт к оплате не даёт — оклад всё равно выплачивается полностью</t>
        </is>
      </c>
    </row>
    <row r="18">
      <c r="B18" s="43" t="inlineStr">
        <is>
          <t>Оплачено в этом месяце</t>
        </is>
      </c>
      <c r="C18" s="6" t="inlineStr">
        <is>
          <t>ausgezahlte Überstunden</t>
        </is>
      </c>
      <c r="D18" s="44">
        <f>IF(Настройки!$D$16="ja",MAX(0,MIN(D17,Настройки!$D$15)),0)</f>
        <v/>
      </c>
      <c r="E18" s="8" t="inlineStr">
        <is>
          <t>ограничение 60 ч/мес — практика работодателя</t>
        </is>
      </c>
    </row>
    <row r="19">
      <c r="B19" s="43" t="inlineStr">
        <is>
          <t>ПЕРЕНОС НА СЛЕДУЮЩИЙ МЕСЯЦ</t>
        </is>
      </c>
      <c r="C19" s="6" t="inlineStr">
        <is>
          <t>Übertrag in den Folgemonat</t>
        </is>
      </c>
      <c r="D19" s="47">
        <f>D15-D16-D18</f>
        <v/>
      </c>
      <c r="E19" s="8" t="inlineStr">
        <is>
          <t>Эту цифру впиши в «Настройки» следующего месяца. Минус = отработано меньше нормы, часы уходят в долг. И требуй письменного подтверждения остатка!</t>
        </is>
      </c>
    </row>
    <row r="20">
      <c r="B20" s="43" t="inlineStr">
        <is>
          <t>Стоимость непогашенных часов</t>
        </is>
      </c>
      <c r="C20" s="6" t="inlineStr">
        <is>
          <t>Wert des Stundenkontos</t>
        </is>
      </c>
      <c r="D20" s="48">
        <f>ROUND(D19*Настройки!$D$10,2)</f>
        <v/>
      </c>
      <c r="E20" s="8" t="inlineStr">
        <is>
          <t>Деньги, которые работодатель пока не выплатил. Не потеряй их из-за § 14 Ausschlussfrist</t>
        </is>
      </c>
    </row>
    <row r="21">
      <c r="B21" s="43" t="inlineStr">
        <is>
          <t>Оплачено бы БЕЗ лимита 60 ч</t>
        </is>
      </c>
      <c r="C21" s="6" t="inlineStr">
        <is>
          <t>ohne 60-Stunden-Deckel</t>
        </is>
      </c>
      <c r="D21" s="49">
        <f>ROUND(D17*Настройки!$D$10,2)</f>
        <v/>
      </c>
      <c r="E21" s="8" t="inlineStr">
        <is>
          <t>Столько работодатель должен был бы выплатить в этом месяце по § 3 Abs. 1, если бы лимита не было</t>
        </is>
      </c>
    </row>
    <row r="22">
      <c r="B22" s="46" t="n"/>
    </row>
    <row r="23" ht="19" customHeight="1">
      <c r="B23" s="42" t="inlineStr">
        <is>
          <t>C. БРУТТО / BRUTTOENTGELT</t>
        </is>
      </c>
    </row>
    <row r="24">
      <c r="B24" s="43" t="inlineStr">
        <is>
          <t>Оклад</t>
        </is>
      </c>
      <c r="C24" s="6" t="inlineStr">
        <is>
          <t>Grundvergütung § 3 Abs. 1</t>
        </is>
      </c>
      <c r="D24" s="49">
        <f>ROUND(Настройки!$D$11*Настройки!$D$20,2)</f>
        <v/>
      </c>
      <c r="E24" s="8" t="inlineStr">
        <is>
          <t>4.676,40 € при полном месяце</t>
        </is>
      </c>
    </row>
    <row r="25">
      <c r="B25" s="43" t="inlineStr">
        <is>
          <t>Оплата переработки</t>
        </is>
      </c>
      <c r="C25" s="6" t="inlineStr">
        <is>
          <t>Überstundenvergütung</t>
        </is>
      </c>
      <c r="D25" s="49">
        <f>ROUND(D18*Настройки!$D$10*(1+Настройки!$D$17),2)</f>
        <v/>
      </c>
      <c r="E25" s="8" t="inlineStr">
        <is>
          <t>часы × 27,00 €</t>
        </is>
      </c>
    </row>
    <row r="26">
      <c r="B26" s="43" t="inlineStr">
        <is>
          <t>Надбавки всего</t>
        </is>
      </c>
      <c r="C26" s="6" t="inlineStr">
        <is>
          <t>Zeitzuschläge gesamt</t>
        </is>
      </c>
      <c r="D26" s="49">
        <f>Dienstplan!Q36</f>
        <v/>
      </c>
      <c r="E26" s="8" t="inlineStr">
        <is>
          <t>начисляются на ВСЕ отработанные часы, включая переработку</t>
        </is>
      </c>
    </row>
    <row r="27">
      <c r="B27" s="43" t="inlineStr">
        <is>
          <t xml:space="preserve">   из них без подоходного налога</t>
        </is>
      </c>
      <c r="C27" s="6" t="inlineStr">
        <is>
          <t xml:space="preserve">   steuerfrei § 3b EStG</t>
        </is>
      </c>
      <c r="D27" s="49">
        <f>Dienstplan!R36</f>
        <v/>
      </c>
      <c r="E27" s="8" t="inlineStr"/>
    </row>
    <row r="28">
      <c r="B28" s="43" t="inlineStr">
        <is>
          <t xml:space="preserve">   из них без соцвзносов</t>
        </is>
      </c>
      <c r="C28" s="6" t="inlineStr">
        <is>
          <t xml:space="preserve">   SV-frei § 1 SvEV</t>
        </is>
      </c>
      <c r="D28" s="49">
        <f>Dienstplan!S36</f>
        <v/>
      </c>
      <c r="E28" s="8" t="inlineStr">
        <is>
          <t>меньше, т.к. база ограничена 25,00 €/ч</t>
        </is>
      </c>
    </row>
    <row r="29">
      <c r="B29" s="43" t="inlineStr">
        <is>
          <t xml:space="preserve">   облагается налогом</t>
        </is>
      </c>
      <c r="C29" s="6" t="inlineStr">
        <is>
          <t xml:space="preserve">   steuerpflichtiger Anteil</t>
        </is>
      </c>
      <c r="D29" s="49">
        <f>D26-D27</f>
        <v/>
      </c>
      <c r="E29" s="8" t="inlineStr"/>
    </row>
    <row r="30">
      <c r="B30" s="43" t="inlineStr">
        <is>
          <t xml:space="preserve">   облагается взносами</t>
        </is>
      </c>
      <c r="C30" s="6" t="inlineStr">
        <is>
          <t xml:space="preserve">   SV-pflichtiger Anteil</t>
        </is>
      </c>
      <c r="D30" s="49">
        <f>D26-D28</f>
        <v/>
      </c>
      <c r="E30" s="8" t="inlineStr"/>
    </row>
    <row r="31">
      <c r="B31" s="43" t="inlineStr">
        <is>
          <t>Премии за Eingesprungen</t>
        </is>
      </c>
      <c r="C31" s="6" t="inlineStr">
        <is>
          <t>Einspringprämien</t>
        </is>
      </c>
      <c r="D31" s="49">
        <f>ROUND(D11*Настройки!$D$19,2)</f>
        <v/>
      </c>
      <c r="E31" s="8" t="inlineStr">
        <is>
          <t>облагается полностью; сумму задай в «Настройках»</t>
        </is>
      </c>
    </row>
    <row r="32" ht="22" customHeight="1">
      <c r="B32" s="50" t="inlineStr">
        <is>
          <t>БРУТТО ВСЕГО</t>
        </is>
      </c>
      <c r="C32" s="6" t="inlineStr">
        <is>
          <t>GESAMTBRUTTO</t>
        </is>
      </c>
      <c r="D32" s="51">
        <f>D24+D25+D26+D31</f>
        <v/>
      </c>
      <c r="E32" s="8" t="inlineStr"/>
    </row>
    <row r="33">
      <c r="B33" s="43" t="inlineStr">
        <is>
          <t>Налогооблагаемое брутто</t>
        </is>
      </c>
      <c r="C33" s="6" t="inlineStr">
        <is>
          <t>steuerpflichtiges Brutto</t>
        </is>
      </c>
      <c r="D33" s="49">
        <f>D24+D25+D31+D29</f>
        <v/>
      </c>
      <c r="E33" s="8" t="inlineStr">
        <is>
          <t>база подоходного налога</t>
        </is>
      </c>
    </row>
    <row r="34">
      <c r="B34" s="43" t="inlineStr">
        <is>
          <t>База для соцвзносов</t>
        </is>
      </c>
      <c r="C34" s="6" t="inlineStr">
        <is>
          <t>SV-Brutto</t>
        </is>
      </c>
      <c r="D34" s="49">
        <f>D24+D25+D31+D30</f>
        <v/>
      </c>
      <c r="E34" s="8" t="inlineStr">
        <is>
          <t>база KV/PV/RV/AV</t>
        </is>
      </c>
    </row>
    <row r="35">
      <c r="B35" s="46" t="n"/>
    </row>
    <row r="36" ht="19" customHeight="1">
      <c r="B36" s="42" t="inlineStr">
        <is>
          <t>D. СОЦВЗНОСЫ (доля работника)</t>
        </is>
      </c>
    </row>
    <row r="37">
      <c r="B37" s="43" t="inlineStr">
        <is>
          <t>Медицинское страхование</t>
        </is>
      </c>
      <c r="C37" s="6" t="inlineStr">
        <is>
          <t>Krankenversicherung</t>
        </is>
      </c>
      <c r="D37" s="49">
        <f>ROUND(MIN(D34,Настройки!$D$58)*(Настройки!$D$52/2+Настройки!$D$53/2),2)</f>
        <v/>
      </c>
      <c r="E37" s="8" t="inlineStr">
        <is>
          <t>7,3 % + половина доп. взноса</t>
        </is>
      </c>
    </row>
    <row r="38">
      <c r="B38" s="43" t="inlineStr">
        <is>
          <t>Страхование по уходу</t>
        </is>
      </c>
      <c r="C38" s="6" t="inlineStr">
        <is>
          <t>Pflegeversicherung</t>
        </is>
      </c>
      <c r="D38" s="49">
        <f>ROUND(MIN(D34,Настройки!$D$58)*(Настройки!$D$54/2+IF(Настройки!$D$51="ja",Настройки!$D$55,0)),2)</f>
        <v/>
      </c>
      <c r="E38" s="8" t="inlineStr">
        <is>
          <t>1,8 %; доплата бездетных не применяется — есть ребёнок</t>
        </is>
      </c>
    </row>
    <row r="39">
      <c r="B39" s="43" t="inlineStr">
        <is>
          <t>Пенсионное страхование</t>
        </is>
      </c>
      <c r="C39" s="6" t="inlineStr">
        <is>
          <t>Rentenversicherung</t>
        </is>
      </c>
      <c r="D39" s="49">
        <f>ROUND(MIN(D34,Настройки!$D$59)*Настройки!$D$56/2,2)</f>
        <v/>
      </c>
      <c r="E39" s="8" t="inlineStr">
        <is>
          <t>9,3 %</t>
        </is>
      </c>
    </row>
    <row r="40">
      <c r="B40" s="43" t="inlineStr">
        <is>
          <t>Страхование по безработице</t>
        </is>
      </c>
      <c r="C40" s="6" t="inlineStr">
        <is>
          <t>Arbeitslosenversicherung</t>
        </is>
      </c>
      <c r="D40" s="49">
        <f>ROUND(MIN(D34,Настройки!$D$59)*Настройки!$D$57/2,2)</f>
        <v/>
      </c>
      <c r="E40" s="8" t="inlineStr">
        <is>
          <t>1,3 %</t>
        </is>
      </c>
    </row>
    <row r="41">
      <c r="B41" s="43" t="inlineStr">
        <is>
          <t>СОЦВЗНОСЫ ВСЕГО</t>
        </is>
      </c>
      <c r="C41" s="6" t="inlineStr">
        <is>
          <t>SV gesamt</t>
        </is>
      </c>
      <c r="D41" s="49">
        <f>D37+D38+D39+D40</f>
        <v/>
      </c>
      <c r="E41" s="8" t="inlineStr"/>
    </row>
    <row r="42">
      <c r="B42" s="46" t="n"/>
    </row>
    <row r="43" ht="19" customHeight="1">
      <c r="B43" s="42" t="inlineStr">
        <is>
          <t>E. НАЛОГИ</t>
        </is>
      </c>
    </row>
    <row r="44">
      <c r="B44" s="43" t="inlineStr">
        <is>
          <t>Подоходный налог</t>
        </is>
      </c>
      <c r="C44" s="6" t="inlineStr">
        <is>
          <t>Lohnsteuer</t>
        </is>
      </c>
      <c r="D44" s="49">
        <f>Lohnsteuer!D26</f>
        <v/>
      </c>
      <c r="E44" s="8" t="inlineStr">
        <is>
          <t>налоговый класс 3 → Splittingtarif</t>
        </is>
      </c>
    </row>
    <row r="45">
      <c r="B45" s="43" t="inlineStr">
        <is>
          <t>Надбавка солидарности</t>
        </is>
      </c>
      <c r="C45" s="6" t="inlineStr">
        <is>
          <t>Solidaritätszuschlag</t>
        </is>
      </c>
      <c r="D45" s="49">
        <f>Lohnsteuer!D31</f>
        <v/>
      </c>
      <c r="E45" s="8" t="inlineStr">
        <is>
          <t>при твоём доходе = 0</t>
        </is>
      </c>
    </row>
    <row r="46">
      <c r="B46" s="43" t="inlineStr">
        <is>
          <t>Церковный налог</t>
        </is>
      </c>
      <c r="C46" s="6" t="inlineStr">
        <is>
          <t>Kirchensteuer</t>
        </is>
      </c>
      <c r="D46" s="49">
        <f>Lohnsteuer!D32</f>
        <v/>
      </c>
      <c r="E46" s="8" t="inlineStr"/>
    </row>
    <row r="47">
      <c r="B47" s="43" t="inlineStr">
        <is>
          <t>НАЛОГИ ВСЕГО</t>
        </is>
      </c>
      <c r="C47" s="6" t="inlineStr">
        <is>
          <t>Steuern gesamt</t>
        </is>
      </c>
      <c r="D47" s="49">
        <f>D44+D45+D46</f>
        <v/>
      </c>
      <c r="E47" s="8" t="inlineStr"/>
    </row>
    <row r="48">
      <c r="B48" s="46" t="n"/>
    </row>
    <row r="49" ht="19" customHeight="1">
      <c r="B49" s="42" t="inlineStr">
        <is>
          <t>F. НА РУКИ</t>
        </is>
      </c>
    </row>
    <row r="50" ht="22" customHeight="1">
      <c r="B50" s="50" t="inlineStr">
        <is>
          <t>НЕТТО (на счёт)</t>
        </is>
      </c>
      <c r="C50" s="6" t="inlineStr">
        <is>
          <t>NETTOVERDIENST</t>
        </is>
      </c>
      <c r="D50" s="51">
        <f>D32-D41-D47</f>
        <v/>
      </c>
      <c r="E50" s="8" t="inlineStr">
        <is>
          <t>Выплата до 15-го числа следующего месяца (§ 3 Abs. 3)</t>
        </is>
      </c>
    </row>
    <row r="51">
      <c r="B51" s="43" t="inlineStr">
        <is>
          <t>Нетто за час фактической работы</t>
        </is>
      </c>
      <c r="C51" s="6" t="inlineStr">
        <is>
          <t>Nettostundenlohn</t>
        </is>
      </c>
      <c r="D51" s="49">
        <f>IF(D5=0,0,ROUND(D50/D5,2))</f>
        <v/>
      </c>
      <c r="E51" s="8" t="inlineStr"/>
    </row>
    <row r="52">
      <c r="B52" s="43" t="inlineStr">
        <is>
          <t>Доля отчислений</t>
        </is>
      </c>
      <c r="C52" s="6" t="inlineStr">
        <is>
          <t>Abzugsquote</t>
        </is>
      </c>
      <c r="D52" s="52">
        <f>IF(D32=0,0,(D41+D47)/D32)</f>
        <v/>
      </c>
      <c r="E52" s="8" t="inlineStr"/>
    </row>
    <row r="53">
      <c r="B53" s="46" t="n"/>
    </row>
    <row r="54" ht="19" customHeight="1">
      <c r="B54" s="42" t="inlineStr">
        <is>
          <t>G. СПРАВОЧНО: расходы работодателя</t>
        </is>
      </c>
    </row>
    <row r="55">
      <c r="B55" s="43" t="inlineStr">
        <is>
          <t>KV работодатель</t>
        </is>
      </c>
      <c r="C55" s="6" t="inlineStr">
        <is>
          <t>AG-Anteil KV</t>
        </is>
      </c>
      <c r="D55" s="49">
        <f>ROUND(MIN(D34,Настройки!$D$58)*(Настройки!$D$52/2+Настройки!$D$53/2),2)</f>
        <v/>
      </c>
      <c r="E55" s="8" t="inlineStr"/>
    </row>
    <row r="56">
      <c r="B56" s="43" t="inlineStr">
        <is>
          <t>PV работодатель</t>
        </is>
      </c>
      <c r="C56" s="6" t="inlineStr">
        <is>
          <t>AG-Anteil PV</t>
        </is>
      </c>
      <c r="D56" s="49">
        <f>ROUND(MIN(D34,Настройки!$D$58)*Настройки!$D$54/2,2)</f>
        <v/>
      </c>
      <c r="E56" s="8" t="inlineStr"/>
    </row>
    <row r="57">
      <c r="B57" s="43" t="inlineStr">
        <is>
          <t>RV работодатель</t>
        </is>
      </c>
      <c r="C57" s="6" t="inlineStr">
        <is>
          <t>AG-Anteil RV</t>
        </is>
      </c>
      <c r="D57" s="49">
        <f>ROUND(MIN(D34,Настройки!$D$59)*Настройки!$D$56/2,2)</f>
        <v/>
      </c>
      <c r="E57" s="8" t="inlineStr"/>
    </row>
    <row r="58">
      <c r="B58" s="43" t="inlineStr">
        <is>
          <t>AV работодатель</t>
        </is>
      </c>
      <c r="C58" s="6" t="inlineStr">
        <is>
          <t>AG-Anteil AV</t>
        </is>
      </c>
      <c r="D58" s="49">
        <f>ROUND(MIN(D34,Настройки!$D$59)*Настройки!$D$57/2,2)</f>
        <v/>
      </c>
      <c r="E58" s="8" t="inlineStr"/>
    </row>
    <row r="59">
      <c r="B59" s="43" t="inlineStr">
        <is>
          <t>Всего расходы работодателя</t>
        </is>
      </c>
      <c r="C59" s="6" t="inlineStr">
        <is>
          <t>Gesamtkosten Arbeitgeber</t>
        </is>
      </c>
      <c r="D59" s="49">
        <f>D32+D55+D56+D57+D58</f>
        <v/>
      </c>
      <c r="E59" s="8" t="inlineStr">
        <is>
          <t>без U1/U2 и страхования от несчастных случаев</t>
        </is>
      </c>
    </row>
    <row r="60">
      <c r="B60" s="46" t="n"/>
    </row>
    <row r="61" ht="19" customHeight="1">
      <c r="B61" s="42" t="inlineStr">
        <is>
          <t>H. ПРОВЕРКА ПО ЗАКОНУ</t>
        </is>
      </c>
    </row>
    <row r="62">
      <c r="B62" s="43" t="inlineStr">
        <is>
          <t>Ср. часов в неделю</t>
        </is>
      </c>
      <c r="C62" s="6" t="inlineStr">
        <is>
          <t>Ø Wochenarbeitszeit</t>
        </is>
      </c>
      <c r="D62" s="44">
        <f>ROUND(D5/(Настройки!$D$6/7),2)</f>
        <v/>
      </c>
      <c r="E62" s="8" t="inlineStr">
        <is>
          <t>§ 3 ArbZG: в среднем не более 48 ч/нед за 6 месяцев</t>
        </is>
      </c>
    </row>
    <row r="63">
      <c r="B63" s="43" t="inlineStr">
        <is>
          <t>Смен длиннее 10 ч</t>
        </is>
      </c>
      <c r="C63" s="6" t="inlineStr">
        <is>
          <t>Dienste &gt; 10 h</t>
        </is>
      </c>
      <c r="D63" s="45">
        <f>COUNTIF(Dienstplan!L5:L35,"&gt;10")</f>
        <v/>
      </c>
      <c r="E63" s="8" t="inlineStr">
        <is>
          <t>§ 3 ArbZG: максимум 10 ч. Для ночных § 6 Abs. 2 строже — 8 ч, до 10 ч с компенсацией за месяц</t>
        </is>
      </c>
    </row>
    <row r="64">
      <c r="B64" s="43" t="inlineStr">
        <is>
          <t>Ночных смен длиннее 8 ч</t>
        </is>
      </c>
      <c r="C64" s="6" t="inlineStr">
        <is>
          <t>Nachtdienste &gt; 8 h</t>
        </is>
      </c>
      <c r="D64" s="45">
        <f>COUNTIFS(Dienstplan!D5:D35,"ND",Dienstplan!L5:L35,"&gt;8")</f>
        <v/>
      </c>
      <c r="E64" s="8" t="inlineStr">
        <is>
          <t>§ 6 Abs. 2 ArbZG — самое серьёзное нарушение в твоём графике</t>
        </is>
      </c>
    </row>
    <row r="65">
      <c r="B65" s="43" t="inlineStr">
        <is>
          <t>Нарушений отдыха 11 ч</t>
        </is>
      </c>
      <c r="C65" s="6" t="inlineStr">
        <is>
          <t>Ruhezeit &lt; 11 h</t>
        </is>
      </c>
      <c r="D65" s="45">
        <f>COUNTIFS(Dienstplan!T5:T35,"&lt;11",Dienstplan!T5:T35,"&gt;0")</f>
        <v/>
      </c>
      <c r="E65" s="8" t="inlineStr">
        <is>
          <t>§ 5 ArbZG; в уходе допустимо 10 ч с компенсацией в течение месяца</t>
        </is>
      </c>
    </row>
    <row r="66">
      <c r="B66" s="43" t="inlineStr">
        <is>
          <t>Смен, задевающих воскресенье</t>
        </is>
      </c>
      <c r="C66" s="6" t="inlineStr">
        <is>
          <t>Sonntagsarbeit</t>
        </is>
      </c>
      <c r="D66" s="45">
        <f>COUNTIF(Dienstplan!N5:N35,"&gt;0")</f>
        <v/>
      </c>
      <c r="E66" s="8" t="inlineStr">
        <is>
          <t>§ 11 ArbZG: минимум 15 воскресений в году свободны; Ersatzruhetag в течение 2 недель</t>
        </is>
      </c>
    </row>
    <row r="67">
      <c r="B67" s="43" t="inlineStr">
        <is>
          <t>Ставка ≥ Pflegemindestlohn?</t>
        </is>
      </c>
      <c r="C67" s="6" t="inlineStr">
        <is>
          <t>Pflegemindestlohn 21,03 €</t>
        </is>
      </c>
      <c r="D67" s="53">
        <f>IF(Настройки!$D$10&gt;=21.03,"да / ja","НЕТ — проверить!")</f>
        <v/>
      </c>
      <c r="E67" s="8" t="inlineStr">
        <is>
          <t>7. PflegeArbbV, Pflegefachkraft с 01.07.2026</t>
        </is>
      </c>
    </row>
  </sheetData>
  <mergeCells count="10">
    <mergeCell ref="B23:E23"/>
    <mergeCell ref="B61:E61"/>
    <mergeCell ref="B49:E49"/>
    <mergeCell ref="B4:E4"/>
    <mergeCell ref="B43:E43"/>
    <mergeCell ref="B13:E13"/>
    <mergeCell ref="B54:E54"/>
    <mergeCell ref="A1:E1"/>
    <mergeCell ref="B2:E2"/>
    <mergeCell ref="B36:E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40" customWidth="1" min="3" max="3"/>
    <col width="16" customWidth="1" min="4" max="4"/>
    <col width="56" customWidth="1" min="5" max="5"/>
    <col width="3" customWidth="1" min="6" max="6"/>
    <col width="14" customWidth="1" min="7" max="7"/>
    <col width="18" customWidth="1" min="8" max="8"/>
  </cols>
  <sheetData>
    <row r="1" ht="26" customHeight="1">
      <c r="A1" s="1" t="inlineStr">
        <is>
          <t>ПОДОХОДНЫЙ НАЛОГ / LOHNSTEUER 2026 — налоговый класс 3 (оценка)</t>
        </is>
      </c>
    </row>
    <row r="2">
      <c r="B2" s="2" t="inlineStr">
        <is>
          <t>Метод официального Programmablaufplan: годовой прогноз → вычеты → тариф § 32a EStG → делим на 12.</t>
        </is>
      </c>
    </row>
    <row r="3">
      <c r="G3" s="27" t="inlineStr">
        <is>
          <t>Коэффициенты § 32a EStG 2026</t>
        </is>
      </c>
    </row>
    <row r="4">
      <c r="B4" s="3" t="inlineStr">
        <is>
          <t>1. ИСХОДНЫЕ ДАННЫЕ</t>
        </is>
      </c>
      <c r="G4" s="31" t="n">
        <v>914.51</v>
      </c>
      <c r="H4" s="2" t="inlineStr">
        <is>
          <t>зона 1 · a</t>
        </is>
      </c>
    </row>
    <row r="5">
      <c r="B5" s="4" t="inlineStr">
        <is>
          <t>Налогооблагаемое брутто за месяц</t>
        </is>
      </c>
      <c r="C5" s="6" t="inlineStr">
        <is>
          <t>steuerpflichtiger Monatslohn</t>
        </is>
      </c>
      <c r="D5" s="49">
        <f>Расчёт!D33</f>
        <v/>
      </c>
      <c r="E5" s="8" t="inlineStr">
        <is>
          <t>оклад + переработка + премии + облагаемая часть надбавок</t>
        </is>
      </c>
      <c r="G5" s="31" t="n">
        <v>1400</v>
      </c>
      <c r="H5" s="2" t="inlineStr">
        <is>
          <t>зона 1 · b</t>
        </is>
      </c>
    </row>
    <row r="6">
      <c r="B6" s="4" t="inlineStr">
        <is>
          <t>Прогноз на год</t>
        </is>
      </c>
      <c r="C6" s="6" t="inlineStr">
        <is>
          <t>hochgerechneter Jahresarbeitslohn</t>
        </is>
      </c>
      <c r="D6" s="49">
        <f>ROUND(D5*12,2)</f>
        <v/>
      </c>
      <c r="E6" s="8" t="inlineStr">
        <is>
          <t>как в ELStAM: месяц × 12. В месяц с большой переработкой налог удерживают завышенно — часть вернётся по Steuererklärung</t>
        </is>
      </c>
      <c r="G6" s="31" t="n">
        <v>173.1</v>
      </c>
      <c r="H6" s="2" t="inlineStr">
        <is>
          <t>зона 2 · a</t>
        </is>
      </c>
    </row>
    <row r="7">
      <c r="B7" s="4" t="inlineStr">
        <is>
          <t>Налоговый класс</t>
        </is>
      </c>
      <c r="C7" s="6" t="inlineStr">
        <is>
          <t>Steuerklasse</t>
        </is>
      </c>
      <c r="D7" s="45">
        <f>Настройки!$D$47</f>
        <v/>
      </c>
      <c r="E7" s="8" t="inlineStr"/>
      <c r="G7" s="31" t="n">
        <v>2397</v>
      </c>
      <c r="H7" s="2" t="inlineStr">
        <is>
          <t>зона 2 · b</t>
        </is>
      </c>
    </row>
    <row r="8">
      <c r="G8" s="31" t="n">
        <v>1034.87</v>
      </c>
      <c r="H8" s="2" t="inlineStr">
        <is>
          <t>зона 2 · c</t>
        </is>
      </c>
    </row>
    <row r="9">
      <c r="B9" s="3" t="inlineStr">
        <is>
          <t>2. ВЫЧЕТЫ (в год)</t>
        </is>
      </c>
      <c r="G9" s="31" t="n">
        <v>0.42</v>
      </c>
      <c r="H9" s="2" t="inlineStr">
        <is>
          <t>зона 3 · %</t>
        </is>
      </c>
    </row>
    <row r="10">
      <c r="B10" s="4" t="inlineStr">
        <is>
          <t>Вычет на работника</t>
        </is>
      </c>
      <c r="C10" s="6" t="inlineStr">
        <is>
          <t>Arbeitnehmer-Pauschbetrag</t>
        </is>
      </c>
      <c r="D10" s="49">
        <f>IF(Настройки!$D$47&lt;6,Настройки!$D$62,0)</f>
        <v/>
      </c>
      <c r="E10" s="8" t="inlineStr">
        <is>
          <t>§ 9a Nr. 1a EStG</t>
        </is>
      </c>
      <c r="G10" s="31" t="n">
        <v>11135.63</v>
      </c>
      <c r="H10" s="2" t="inlineStr">
        <is>
          <t>зона 3 · вычет</t>
        </is>
      </c>
    </row>
    <row r="11">
      <c r="B11" s="4" t="inlineStr">
        <is>
          <t>Особые расходы</t>
        </is>
      </c>
      <c r="C11" s="6" t="inlineStr">
        <is>
          <t>Sonderausgaben-Pauschbetrag</t>
        </is>
      </c>
      <c r="D11" s="49">
        <f>IF(Настройки!$D$47&lt;6,Настройки!$D$63,0)</f>
        <v/>
      </c>
      <c r="E11" s="8" t="inlineStr">
        <is>
          <t>§ 10c EStG</t>
        </is>
      </c>
      <c r="G11" s="31" t="n">
        <v>0.45</v>
      </c>
      <c r="H11" s="2" t="inlineStr">
        <is>
          <t>зона 4 · %</t>
        </is>
      </c>
    </row>
    <row r="12">
      <c r="B12" s="4" t="inlineStr">
        <is>
          <t>Одинокому родителю</t>
        </is>
      </c>
      <c r="C12" s="6" t="inlineStr">
        <is>
          <t>Entlastungsbetrag Alleinerziehende</t>
        </is>
      </c>
      <c r="D12" s="49">
        <f>IF(Настройки!$D$47=2,Настройки!$D$64,0)</f>
        <v/>
      </c>
      <c r="E12" s="8" t="inlineStr">
        <is>
          <t>только класс 2</t>
        </is>
      </c>
      <c r="G12" s="31" t="n">
        <v>19470.38</v>
      </c>
      <c r="H12" s="2" t="inlineStr">
        <is>
          <t>зона 4 · вычет</t>
        </is>
      </c>
    </row>
    <row r="14">
      <c r="B14" s="3" t="inlineStr">
        <is>
          <t>3. VORSORGEPAUSCHALE (§ 39b Abs. 2 S. 5 Nr. 3 EStG)</t>
        </is>
      </c>
    </row>
    <row r="15">
      <c r="B15" s="4" t="inlineStr">
        <is>
          <t>Пенсионное страхование</t>
        </is>
      </c>
      <c r="C15" s="6" t="inlineStr">
        <is>
          <t>Teilbetrag Rentenversicherung</t>
        </is>
      </c>
      <c r="D15" s="49">
        <f>ROUND(MIN(D6,Настройки!$D$59*12)*Настройки!$D$56/2,2)</f>
        <v/>
      </c>
      <c r="E15" s="8" t="inlineStr">
        <is>
          <t>100 % доли работника</t>
        </is>
      </c>
    </row>
    <row r="16">
      <c r="B16" s="4" t="inlineStr">
        <is>
          <t>Медицинское страхование</t>
        </is>
      </c>
      <c r="C16" s="6" t="inlineStr">
        <is>
          <t>Teilbetrag Krankenversicherung</t>
        </is>
      </c>
      <c r="D16" s="49">
        <f>ROUND(MIN(D6,Настройки!$D$58*12)*(Настройки!$D$52/2+Настройки!$D$53/2),2)</f>
        <v/>
      </c>
      <c r="E16" s="8" t="inlineStr"/>
    </row>
    <row r="17">
      <c r="B17" s="4" t="inlineStr">
        <is>
          <t>Страхование по уходу</t>
        </is>
      </c>
      <c r="C17" s="6" t="inlineStr">
        <is>
          <t>Teilbetrag Pflegeversicherung</t>
        </is>
      </c>
      <c r="D17" s="49">
        <f>ROUND(MIN(D6,Настройки!$D$58*12)*(Настройки!$D$54/2+IF(Настройки!$D$51="ja",Настройки!$D$55,0)),2)</f>
        <v/>
      </c>
      <c r="E17" s="8" t="inlineStr"/>
    </row>
    <row r="18">
      <c r="B18" s="4" t="inlineStr">
        <is>
          <t>Страхование по безработице</t>
        </is>
      </c>
      <c r="C18" s="6" t="inlineStr">
        <is>
          <t>Teilbetrag Arbeitslosenversicherung</t>
        </is>
      </c>
      <c r="D18" s="49">
        <f>IF(Настройки!$D$65="ja",ROUND(MIN(MIN(D6,Настройки!$D$59*12)*Настройки!$D$57/2,MAX(0,1900-D16-D17)),2),0)</f>
        <v/>
      </c>
      <c r="E18" s="8" t="inlineStr">
        <is>
          <t>новое с 2026, засчитывается лишь в пределах 1.900 € вместе с KV/PV</t>
        </is>
      </c>
    </row>
    <row r="19">
      <c r="B19" s="4" t="inlineStr">
        <is>
          <t>Vorsorgepauschale всего</t>
        </is>
      </c>
      <c r="C19" s="6" t="inlineStr">
        <is>
          <t>Vorsorgepauschale gesamt</t>
        </is>
      </c>
      <c r="D19" s="49">
        <f>D15+D16+D17+D18</f>
        <v/>
      </c>
      <c r="E19" s="8" t="inlineStr"/>
    </row>
    <row r="21">
      <c r="B21" s="3" t="inlineStr">
        <is>
          <t>4. ТАРИФ</t>
        </is>
      </c>
    </row>
    <row r="22">
      <c r="B22" s="4" t="inlineStr">
        <is>
          <t>Налогооблагаемый доход</t>
        </is>
      </c>
      <c r="C22" s="6" t="inlineStr">
        <is>
          <t>zu versteuerndes Einkommen (zvE)</t>
        </is>
      </c>
      <c r="D22" s="49">
        <f>MAX(0,ROUNDDOWN(D6-D10-D11-D12-D19,0))</f>
        <v/>
      </c>
      <c r="E22" s="8" t="inlineStr">
        <is>
          <t>округляется вниз до полного евро</t>
        </is>
      </c>
    </row>
    <row r="23">
      <c r="B23" s="4" t="inlineStr">
        <is>
          <t>Основной тариф</t>
        </is>
      </c>
      <c r="C23" s="6" t="inlineStr">
        <is>
          <t>Grundtarif § 32a Abs. 1</t>
        </is>
      </c>
      <c r="D23" s="49">
        <f>IF(D22&lt;=Настройки!$D$67,0,IF(D22&lt;=Настройки!$D$68,ROUNDDOWN(($G$4*((D22-Настройки!$D$67)/10000)+$G$5)*((D22-Настройки!$D$67)/10000),0),IF(D22&lt;=Настройки!$D$69,ROUNDDOWN(($G$6*((D22-Настройки!$D$68)/10000)+$G$7)*((D22-Настройки!$D$68)/10000)+$G$8,0),IF(D22&lt;=Настройки!$D$70,ROUNDDOWN($G$9*D22-$G$10,0),ROUNDDOWN($G$11*D22-$G$12,0)))))</f>
        <v/>
      </c>
      <c r="E23" s="8" t="inlineStr">
        <is>
          <t>классы 1, 2, 4</t>
        </is>
      </c>
    </row>
    <row r="24">
      <c r="B24" s="4" t="inlineStr">
        <is>
          <t>Тариф со сплиттингом</t>
        </is>
      </c>
      <c r="C24" s="6" t="inlineStr">
        <is>
          <t>Splittingtarif § 32a Abs. 5</t>
        </is>
      </c>
      <c r="D24" s="49">
        <f>2*(IF(ROUNDDOWN(D22/2,0)&lt;=Настройки!$D$67,0,IF(ROUNDDOWN(D22/2,0)&lt;=Настройки!$D$68,ROUNDDOWN(($G$4*((ROUNDDOWN(D22/2,0)-Настройки!$D$67)/10000)+$G$5)*((ROUNDDOWN(D22/2,0)-Настройки!$D$67)/10000),0),IF(ROUNDDOWN(D22/2,0)&lt;=Настройки!$D$69,ROUNDDOWN(($G$6*((ROUNDDOWN(D22/2,0)-Настройки!$D$68)/10000)+$G$7)*((ROUNDDOWN(D22/2,0)-Настройки!$D$68)/10000)+$G$8,0),IF(ROUNDDOWN(D22/2,0)&lt;=Настройки!$D$70,ROUNDDOWN($G$9*ROUNDDOWN(D22/2,0)-$G$10,0),ROUNDDOWN($G$11*ROUNDDOWN(D22/2,0)-$G$12,0))))))</f>
        <v/>
      </c>
      <c r="E24" s="8" t="inlineStr">
        <is>
          <t>класс 3 — твой случай</t>
        </is>
      </c>
    </row>
    <row r="25">
      <c r="B25" s="4" t="inlineStr">
        <is>
          <t>Подоходный налог за год</t>
        </is>
      </c>
      <c r="C25" s="6" t="inlineStr">
        <is>
          <t>Jahreslohnsteuer</t>
        </is>
      </c>
      <c r="D25" s="49">
        <f>IF(Настройки!$D$47=3,D24,D23)</f>
        <v/>
      </c>
      <c r="E25" s="8" t="inlineStr"/>
    </row>
    <row r="26">
      <c r="B26" s="54" t="inlineStr">
        <is>
          <t>ПОДОХОДНЫЙ НАЛОГ ЗА МЕСЯЦ</t>
        </is>
      </c>
      <c r="C26" s="6" t="inlineStr">
        <is>
          <t>Lohnsteuer monatlich</t>
        </is>
      </c>
      <c r="D26" s="51">
        <f>ROUND(D25/12,2)</f>
        <v/>
      </c>
      <c r="E26" s="8" t="inlineStr"/>
    </row>
    <row r="28">
      <c r="B28" s="3" t="inlineStr">
        <is>
          <t>5. SOLI И ЦЕРКОВНЫЙ НАЛОГ</t>
        </is>
      </c>
    </row>
    <row r="29">
      <c r="B29" s="4" t="inlineStr">
        <is>
          <t>Порог Soli для твоего класса</t>
        </is>
      </c>
      <c r="C29" s="6" t="inlineStr">
        <is>
          <t>Soli-Freigrenze</t>
        </is>
      </c>
      <c r="D29" s="49">
        <f>IF(Настройки!$D$47=3,Настройки!$D$66*2,Настройки!$D$66)</f>
        <v/>
      </c>
      <c r="E29" s="8" t="inlineStr">
        <is>
          <t>для класса 3 порог удваивается</t>
        </is>
      </c>
    </row>
    <row r="30">
      <c r="B30" s="4" t="inlineStr">
        <is>
          <t>Soli за год</t>
        </is>
      </c>
      <c r="C30" s="6" t="inlineStr">
        <is>
          <t>Solidaritätszuschlag Jahr</t>
        </is>
      </c>
      <c r="D30" s="49">
        <f>IF(D25&lt;=D29,0,ROUND(MIN(0.055*D25,0.119*(D25-D29)),2))</f>
        <v/>
      </c>
      <c r="E30" s="8" t="inlineStr">
        <is>
          <t>зона смягчения 11,9 %</t>
        </is>
      </c>
    </row>
    <row r="31">
      <c r="B31" s="4" t="inlineStr">
        <is>
          <t>Soli за месяц</t>
        </is>
      </c>
      <c r="C31" s="6" t="inlineStr">
        <is>
          <t>Solidaritätszuschlag monatlich</t>
        </is>
      </c>
      <c r="D31" s="49">
        <f>ROUND(D30/12,2)</f>
        <v/>
      </c>
      <c r="E31" s="8" t="inlineStr"/>
    </row>
    <row r="32">
      <c r="B32" s="4" t="inlineStr">
        <is>
          <t>Церковный налог за месяц</t>
        </is>
      </c>
      <c r="C32" s="6" t="inlineStr">
        <is>
          <t>Kirchensteuer monatlich</t>
        </is>
      </c>
      <c r="D32" s="49">
        <f>IF(Настройки!$D$48="ja",ROUND(D26*Настройки!$D$49,2),0)</f>
        <v/>
      </c>
      <c r="E32" s="8" t="inlineStr"/>
    </row>
    <row r="34" ht="30" customHeight="1">
      <c r="B34" s="55">
        <f>IF(OR(Настройки!$D$47=5,Настройки!$D$47=6),"ВНИМАНИЕ: для классов 5 и 6 действует другой алгоритм (§ 39b Abs. 2 S. 7 EStG) — расчёт НЕ подходит.","Оценка. Официальная сумма — в Lohnabrechnung. Сверить: bmf-steuerrechner.de (там выбери Steuerklasse 3, Kinderfreibetrag 1,0)")</f>
        <v/>
      </c>
    </row>
  </sheetData>
  <mergeCells count="8">
    <mergeCell ref="B9:E9"/>
    <mergeCell ref="B4:E4"/>
    <mergeCell ref="B21:E21"/>
    <mergeCell ref="A1:E1"/>
    <mergeCell ref="B2:E2"/>
    <mergeCell ref="B34:E34"/>
    <mergeCell ref="B28:E28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2" customWidth="1" min="4" max="4"/>
    <col width="10" customWidth="1" min="5" max="5"/>
    <col width="14" customWidth="1" min="6" max="6"/>
    <col width="46" customWidth="1" min="7" max="7"/>
    <col width="20" customWidth="1" min="8" max="8"/>
  </cols>
  <sheetData>
    <row r="1" ht="26" customHeight="1">
      <c r="A1" s="1" t="inlineStr">
        <is>
          <t>КОНТРОЛЬ РАБОЧЕГО ВРЕМЕНИ / ARBEITSZEITGESETZ</t>
        </is>
      </c>
    </row>
    <row r="2">
      <c r="B2" s="2" t="inlineStr">
        <is>
          <t>Считаются смены, НАЧИНАЮЩИЕСЯ в этом месяце. Стыки месяцев проверь вручную.</t>
        </is>
      </c>
    </row>
    <row r="4">
      <c r="B4" s="56" t="inlineStr">
        <is>
          <t>Неделя с</t>
        </is>
      </c>
      <c r="C4" s="56" t="inlineStr">
        <is>
          <t>по</t>
        </is>
      </c>
      <c r="D4" s="56" t="inlineStr">
        <is>
          <t>Часов</t>
        </is>
      </c>
      <c r="E4" s="56" t="inlineStr">
        <is>
          <t>Смен</t>
        </is>
      </c>
      <c r="F4" s="56" t="inlineStr">
        <is>
          <t>Ночных</t>
        </is>
      </c>
      <c r="G4" s="56" t="inlineStr">
        <is>
          <t>Статус</t>
        </is>
      </c>
    </row>
    <row r="5">
      <c r="B5" s="28">
        <f>DATE(Настройки!$D$4,Настройки!$D$5,1)-WEEKDAY(DATE(Настройки!$D$4,Настройки!$D$5,1),2)+1+7*0</f>
        <v/>
      </c>
      <c r="C5" s="28">
        <f>B5+6</f>
        <v/>
      </c>
      <c r="D5" s="32">
        <f>SUMIFS(Dienstplan!$L$5:$L$35,Dienstplan!$A$5:$A$35,"&gt;="&amp;B5,Dienstplan!$A$5:$A$35,"&lt;="&amp;C5)</f>
        <v/>
      </c>
      <c r="E5" s="57">
        <f>COUNTIFS(Dienstplan!$A$5:$A$35,"&gt;="&amp;B5,Dienstplan!$A$5:$A$35,"&lt;="&amp;C5,Dienstplan!$L$5:$L$35,"&gt;0")</f>
        <v/>
      </c>
      <c r="F5" s="57">
        <f>COUNTIFS(Dienstplan!$A$5:$A$35,"&gt;="&amp;B5,Dienstplan!$A$5:$A$35,"&lt;="&amp;C5,Dienstplan!$D$5:$D$35,"ND")</f>
        <v/>
      </c>
      <c r="G5" s="29">
        <f>IF(D5&gt;48,"ПРЕВЫШЕНИЕ: больше 48 ч (§ 3 ArbZG)",IF(D5&gt;40,"выше нормы 40 ч","в норме"))</f>
        <v/>
      </c>
    </row>
    <row r="6">
      <c r="B6" s="28">
        <f>DATE(Настройки!$D$4,Настройки!$D$5,1)-WEEKDAY(DATE(Настройки!$D$4,Настройки!$D$5,1),2)+1+7*1</f>
        <v/>
      </c>
      <c r="C6" s="28">
        <f>B6+6</f>
        <v/>
      </c>
      <c r="D6" s="32">
        <f>SUMIFS(Dienstplan!$L$5:$L$35,Dienstplan!$A$5:$A$35,"&gt;="&amp;B6,Dienstplan!$A$5:$A$35,"&lt;="&amp;C6)</f>
        <v/>
      </c>
      <c r="E6" s="57">
        <f>COUNTIFS(Dienstplan!$A$5:$A$35,"&gt;="&amp;B6,Dienstplan!$A$5:$A$35,"&lt;="&amp;C6,Dienstplan!$L$5:$L$35,"&gt;0")</f>
        <v/>
      </c>
      <c r="F6" s="57">
        <f>COUNTIFS(Dienstplan!$A$5:$A$35,"&gt;="&amp;B6,Dienstplan!$A$5:$A$35,"&lt;="&amp;C6,Dienstplan!$D$5:$D$35,"ND")</f>
        <v/>
      </c>
      <c r="G6" s="29">
        <f>IF(D6&gt;48,"ПРЕВЫШЕНИЕ: больше 48 ч (§ 3 ArbZG)",IF(D6&gt;40,"выше нормы 40 ч","в норме"))</f>
        <v/>
      </c>
    </row>
    <row r="7">
      <c r="B7" s="28">
        <f>DATE(Настройки!$D$4,Настройки!$D$5,1)-WEEKDAY(DATE(Настройки!$D$4,Настройки!$D$5,1),2)+1+7*2</f>
        <v/>
      </c>
      <c r="C7" s="28">
        <f>B7+6</f>
        <v/>
      </c>
      <c r="D7" s="32">
        <f>SUMIFS(Dienstplan!$L$5:$L$35,Dienstplan!$A$5:$A$35,"&gt;="&amp;B7,Dienstplan!$A$5:$A$35,"&lt;="&amp;C7)</f>
        <v/>
      </c>
      <c r="E7" s="57">
        <f>COUNTIFS(Dienstplan!$A$5:$A$35,"&gt;="&amp;B7,Dienstplan!$A$5:$A$35,"&lt;="&amp;C7,Dienstplan!$L$5:$L$35,"&gt;0")</f>
        <v/>
      </c>
      <c r="F7" s="57">
        <f>COUNTIFS(Dienstplan!$A$5:$A$35,"&gt;="&amp;B7,Dienstplan!$A$5:$A$35,"&lt;="&amp;C7,Dienstplan!$D$5:$D$35,"ND")</f>
        <v/>
      </c>
      <c r="G7" s="29">
        <f>IF(D7&gt;48,"ПРЕВЫШЕНИЕ: больше 48 ч (§ 3 ArbZG)",IF(D7&gt;40,"выше нормы 40 ч","в норме"))</f>
        <v/>
      </c>
    </row>
    <row r="8">
      <c r="B8" s="28">
        <f>DATE(Настройки!$D$4,Настройки!$D$5,1)-WEEKDAY(DATE(Настройки!$D$4,Настройки!$D$5,1),2)+1+7*3</f>
        <v/>
      </c>
      <c r="C8" s="28">
        <f>B8+6</f>
        <v/>
      </c>
      <c r="D8" s="32">
        <f>SUMIFS(Dienstplan!$L$5:$L$35,Dienstplan!$A$5:$A$35,"&gt;="&amp;B8,Dienstplan!$A$5:$A$35,"&lt;="&amp;C8)</f>
        <v/>
      </c>
      <c r="E8" s="57">
        <f>COUNTIFS(Dienstplan!$A$5:$A$35,"&gt;="&amp;B8,Dienstplan!$A$5:$A$35,"&lt;="&amp;C8,Dienstplan!$L$5:$L$35,"&gt;0")</f>
        <v/>
      </c>
      <c r="F8" s="57">
        <f>COUNTIFS(Dienstplan!$A$5:$A$35,"&gt;="&amp;B8,Dienstplan!$A$5:$A$35,"&lt;="&amp;C8,Dienstplan!$D$5:$D$35,"ND")</f>
        <v/>
      </c>
      <c r="G8" s="29">
        <f>IF(D8&gt;48,"ПРЕВЫШЕНИЕ: больше 48 ч (§ 3 ArbZG)",IF(D8&gt;40,"выше нормы 40 ч","в норме"))</f>
        <v/>
      </c>
    </row>
    <row r="9">
      <c r="B9" s="28">
        <f>DATE(Настройки!$D$4,Настройки!$D$5,1)-WEEKDAY(DATE(Настройки!$D$4,Настройки!$D$5,1),2)+1+7*4</f>
        <v/>
      </c>
      <c r="C9" s="28">
        <f>B9+6</f>
        <v/>
      </c>
      <c r="D9" s="32">
        <f>SUMIFS(Dienstplan!$L$5:$L$35,Dienstplan!$A$5:$A$35,"&gt;="&amp;B9,Dienstplan!$A$5:$A$35,"&lt;="&amp;C9)</f>
        <v/>
      </c>
      <c r="E9" s="57">
        <f>COUNTIFS(Dienstplan!$A$5:$A$35,"&gt;="&amp;B9,Dienstplan!$A$5:$A$35,"&lt;="&amp;C9,Dienstplan!$L$5:$L$35,"&gt;0")</f>
        <v/>
      </c>
      <c r="F9" s="57">
        <f>COUNTIFS(Dienstplan!$A$5:$A$35,"&gt;="&amp;B9,Dienstplan!$A$5:$A$35,"&lt;="&amp;C9,Dienstplan!$D$5:$D$35,"ND")</f>
        <v/>
      </c>
      <c r="G9" s="29">
        <f>IF(D9&gt;48,"ПРЕВЫШЕНИЕ: больше 48 ч (§ 3 ArbZG)",IF(D9&gt;40,"выше нормы 40 ч","в норме"))</f>
        <v/>
      </c>
    </row>
    <row r="10">
      <c r="B10" s="28">
        <f>DATE(Настройки!$D$4,Настройки!$D$5,1)-WEEKDAY(DATE(Настройки!$D$4,Настройки!$D$5,1),2)+1+7*5</f>
        <v/>
      </c>
      <c r="C10" s="28">
        <f>B10+6</f>
        <v/>
      </c>
      <c r="D10" s="32">
        <f>SUMIFS(Dienstplan!$L$5:$L$35,Dienstplan!$A$5:$A$35,"&gt;="&amp;B10,Dienstplan!$A$5:$A$35,"&lt;="&amp;C10)</f>
        <v/>
      </c>
      <c r="E10" s="57">
        <f>COUNTIFS(Dienstplan!$A$5:$A$35,"&gt;="&amp;B10,Dienstplan!$A$5:$A$35,"&lt;="&amp;C10,Dienstplan!$L$5:$L$35,"&gt;0")</f>
        <v/>
      </c>
      <c r="F10" s="57">
        <f>COUNTIFS(Dienstplan!$A$5:$A$35,"&gt;="&amp;B10,Dienstplan!$A$5:$A$35,"&lt;="&amp;C10,Dienstplan!$D$5:$D$35,"ND")</f>
        <v/>
      </c>
      <c r="G10" s="29">
        <f>IF(D10&gt;48,"ПРЕВЫШЕНИЕ: больше 48 ч (§ 3 ArbZG)",IF(D10&gt;40,"выше нормы 40 ч","в норме"))</f>
        <v/>
      </c>
    </row>
    <row r="12" ht="19" customHeight="1">
      <c r="A12" s="3" t="inlineStr">
        <is>
          <t>ЧТО ГОВОРИТ ЗАКОН</t>
        </is>
      </c>
    </row>
    <row r="13" ht="26" customHeight="1">
      <c r="B13" s="4" t="inlineStr">
        <is>
          <t>§ 3 ArbZG</t>
        </is>
      </c>
      <c r="C13" s="5" t="inlineStr">
        <is>
          <t>Рабочий день — максимум 8 ч. До 10 ч можно, только если за 6 месяцев (или 24 недели) средняя не выше 8 ч в день, то есть около 48 ч в неделю.</t>
        </is>
      </c>
    </row>
    <row r="14" ht="26" customHeight="1">
      <c r="B14" s="4" t="inlineStr">
        <is>
          <t>§ 4 ArbZG</t>
        </is>
      </c>
      <c r="C14" s="5" t="inlineStr">
        <is>
          <t>Перерыв: при работе более 6 ч — 30 мин, более 9 ч — 45 мин. Можно дробить по 15 мин. Более 6 ч подряд без перерыва запрещено.</t>
        </is>
      </c>
    </row>
    <row r="15" ht="26" customHeight="1">
      <c r="B15" s="4" t="inlineStr">
        <is>
          <t>§ 5 ArbZG</t>
        </is>
      </c>
      <c r="C15" s="5" t="inlineStr">
        <is>
          <t>Отдых между сменами 11 ч. В уходе допускается 10 ч, если в течение месяца компенсируется другой сменой отдыха в 12 ч.</t>
        </is>
      </c>
    </row>
    <row r="16" ht="26" customHeight="1">
      <c r="B16" s="4" t="inlineStr">
        <is>
          <t>§ 6 Abs. 2 ArbZG</t>
        </is>
      </c>
      <c r="C16" s="5" t="inlineStr">
        <is>
          <t>ГЛАВНОЕ ДЛЯ ТЕБЯ: у ночного работника смена максимум 8 ч, до 10 ч — только если за календарный месяц (или 4 недели) средняя не выше 8 ч. Твои 12-часовые ND этому не соответствуют.</t>
        </is>
      </c>
    </row>
    <row r="17" ht="39" customHeight="1">
      <c r="B17" s="4" t="inlineStr">
        <is>
          <t>§ 7 ArbZG</t>
        </is>
      </c>
      <c r="C17" s="5" t="inlineStr">
        <is>
          <t>Смены длиннее возможны лишь при существенной доле Bereitschaftsdienst И на основании Tarifvertrag или Betriebsvereinbarung. В EzB (п. 42) прямо указано, что работодатель НЕ связан тарифом — значит такой основы нет.</t>
        </is>
      </c>
    </row>
    <row r="18" ht="15" customHeight="1">
      <c r="B18" s="4" t="inlineStr">
        <is>
          <t>§ 6 Abs. 3 ArbZG</t>
        </is>
      </c>
      <c r="C18" s="5" t="inlineStr">
        <is>
          <t>Право на бесплатное медобследование каждые 3 года (после 50 лет — ежегодно), за счёт работодателя.</t>
        </is>
      </c>
    </row>
    <row r="19" ht="26" customHeight="1">
      <c r="B19" s="4" t="inlineStr">
        <is>
          <t>§ 6 Abs. 5 ArbZG</t>
        </is>
      </c>
      <c r="C19" s="5" t="inlineStr">
        <is>
          <t>Право на соразмерную надбавку за ночную работу ИЛИ на оплачиваемые отгулы. Ориентир BAG — 25 %; при постоянной ночной работе суды присуждали до 30 %.</t>
        </is>
      </c>
    </row>
    <row r="20" ht="26" customHeight="1">
      <c r="B20" s="4" t="inlineStr">
        <is>
          <t>§ 11 ArbZG</t>
        </is>
      </c>
      <c r="C20" s="5" t="inlineStr">
        <is>
          <t>Минимум 15 воскресений в году свободны. За работу в воскресенье — Ersatzruhetag в течение 2 недель, за праздник — в течение 8 недель.</t>
        </is>
      </c>
    </row>
    <row r="21" ht="26" customHeight="1">
      <c r="B21" s="4" t="inlineStr">
        <is>
          <t>§ 16 ArbZG</t>
        </is>
      </c>
      <c r="C21" s="5" t="inlineStr">
        <is>
          <t>Работодатель обязан фиксировать всё время сверх 8 ч и хранить записи 2 года. Веди свой учёт — он решает исход спора.</t>
        </is>
      </c>
    </row>
    <row r="22" ht="26" customHeight="1">
      <c r="B22" s="4" t="inlineStr">
        <is>
          <t>§ 22 ArbZG</t>
        </is>
      </c>
      <c r="C22" s="5" t="inlineStr">
        <is>
          <t>Нарушения — штраф до 15.000 € для работодателя. Жалоба: Gewerbeaufsichtsamt Hannover (Staatliches Gewerbeaufsichtsamt), анонимно тоже принимают.</t>
        </is>
      </c>
    </row>
    <row r="23" ht="26" customHeight="1">
      <c r="B23" s="4" t="inlineStr">
        <is>
          <t>§ 3b EStG</t>
        </is>
      </c>
      <c r="C23" s="5" t="inlineStr">
        <is>
          <t>Надбавки за ночь/воскресенье/праздник не облагаются подоходным налогом: ночь 25 %, воскресенье 50 %, праздник 125/150 %, база до 50 €/ч.</t>
        </is>
      </c>
    </row>
    <row r="24" ht="26" customHeight="1">
      <c r="B24" s="4" t="inlineStr">
        <is>
          <t>§ 1 SvEV</t>
        </is>
      </c>
      <c r="C24" s="5" t="inlineStr">
        <is>
          <t>От соцвзносов надбавки свободны только с базы до 25 €/ч. При ставке 27 € часть надбавок облагается взносами.</t>
        </is>
      </c>
    </row>
    <row r="25" ht="26" customHeight="1">
      <c r="B25" s="4" t="inlineStr">
        <is>
          <t>§ 11 BUrlG</t>
        </is>
      </c>
      <c r="C25" s="5" t="inlineStr">
        <is>
          <t>Отпускные — по среднему заработку за последние 13 недель, ВКЛЮЧАЯ надбавки (сверхурочные не входят). Проверяй, что надбавки учли.</t>
        </is>
      </c>
    </row>
    <row r="26" ht="26" customHeight="1">
      <c r="B26" s="4" t="inlineStr">
        <is>
          <t>§ 4 EFZG</t>
        </is>
      </c>
      <c r="C26" s="5" t="inlineStr">
        <is>
          <t>На больничном платят по принципу Lohnausfall — то, что заработал бы, включая надбавки за смены по графику.</t>
        </is>
      </c>
    </row>
  </sheetData>
  <mergeCells count="16">
    <mergeCell ref="A12:H12"/>
    <mergeCell ref="C20:H20"/>
    <mergeCell ref="C25:H25"/>
    <mergeCell ref="C24:H24"/>
    <mergeCell ref="C16:H16"/>
    <mergeCell ref="C19:H19"/>
    <mergeCell ref="C26:H26"/>
    <mergeCell ref="C14:H14"/>
    <mergeCell ref="C13:H13"/>
    <mergeCell ref="C22:H22"/>
    <mergeCell ref="C17:H17"/>
    <mergeCell ref="C23:H23"/>
    <mergeCell ref="C18:H18"/>
    <mergeCell ref="A1:H1"/>
    <mergeCell ref="C21:H21"/>
    <mergeCell ref="C15:H15"/>
  </mergeCells>
  <conditionalFormatting sqref="D5:D10">
    <cfRule type="cellIs" priority="1" operator="greaterThan" dxfId="0">
      <formula>48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40" customWidth="1" min="3" max="3"/>
    <col width="44" customWidth="1" min="4" max="4"/>
    <col width="44" customWidth="1" min="5" max="5"/>
  </cols>
  <sheetData>
    <row r="1" ht="26" customHeight="1">
      <c r="A1" s="1" t="inlineStr">
        <is>
          <t>ПРАВА И РИСКИ — что в договоре есть, чего нет</t>
        </is>
      </c>
    </row>
    <row r="2">
      <c r="B2" s="2" t="inlineStr">
        <is>
          <t>Проверено по всем 19 параграфам договора от 01.08.2026 и по EzB от 13.07.2026.</t>
        </is>
      </c>
    </row>
    <row r="4">
      <c r="B4" s="56" t="inlineStr">
        <is>
          <t>Тема</t>
        </is>
      </c>
      <c r="C4" s="56" t="inlineStr">
        <is>
          <t>Что в договоре</t>
        </is>
      </c>
      <c r="D4" s="56" t="inlineStr">
        <is>
          <t>Что по закону / на практике</t>
        </is>
      </c>
      <c r="E4" s="56" t="inlineStr">
        <is>
          <t>Что делать</t>
        </is>
      </c>
    </row>
    <row r="5" ht="69" customHeight="1">
      <c r="B5" s="58" t="inlineStr">
        <is>
          <t>Einspringprämie</t>
        </is>
      </c>
      <c r="C5" s="59" t="inlineStr">
        <is>
          <t>НЕТ НИ СЛОВА. § 4 Abs. 1: любые Sonderleistungen сверх договора — добровольные, права на них нет.</t>
        </is>
      </c>
      <c r="D5" s="59" t="inlineStr">
        <is>
          <t>НО § 4 Abs. 1 Satz 3: оговорка о добровольности НЕ действует, если выплата основана на индивидуальной договорённости (individuelle Vertragsabrede). Устная договорённость тоже считается, но её надо доказать.</t>
        </is>
      </c>
      <c r="E5" s="60" t="inlineStr">
        <is>
          <t>Напиши руководителю e-mail: «Bitte bestätigen Sie mir die vereinbarte Einspringprämie von … € je kurzfristig übernommenem Dienst.» Ответ по e-mail = доказательство. Без этого премию могут прекратить в любой момент.</t>
        </is>
      </c>
    </row>
    <row r="6" ht="57.5" customHeight="1">
      <c r="B6" s="58" t="inlineStr">
        <is>
          <t>Лимит 60 ч переработки</t>
        </is>
      </c>
      <c r="C6" s="59" t="inlineStr">
        <is>
          <t>НЕТ ТАКОГО ПРАВИЛА. § 2 Abs. 3 разрешает не оплачивать только 8 ч в месяц. Всё остальное — обычное рабочее время по § 3 Abs. 1 (27 €/ч).</t>
        </is>
      </c>
      <c r="D6" s="59" t="inlineStr">
        <is>
          <t>Замена оплаты на отгулы (Freizeitausgleich) требует соглашения сторон или Betriebsvereinbarung. Работодатель не может ввести это в одностороннем порядке. Часы не пропадают — они на счёте (Arbeitszeitkonto).</t>
        </is>
      </c>
      <c r="E6" s="60" t="inlineStr">
        <is>
          <t>Само по себе накопление часов не страшно. Опасен § 14: требуй КАЖДЫЙ месяц письменное подтверждение остатка счёта часов. Это и фиксирует требование, и не даёт сроку истечь.</t>
        </is>
      </c>
    </row>
    <row r="7" ht="57.5" customHeight="1">
      <c r="B7" s="58" t="inlineStr">
        <is>
          <t>Ausschlussfrist 3 месяца</t>
        </is>
      </c>
      <c r="C7" s="59" t="inlineStr">
        <is>
          <t>§ 14: любые требования пропадают, если не заявлены письменно в течение 3 месяцев с момента, когда они стали к оплате.</t>
        </is>
      </c>
      <c r="D7" s="59" t="inlineStr">
        <is>
          <t>Зарплата за август платится 15 сентября → срок по августу истекает 15 декабря. Для перенесённых часов момент возникновения требования спорный — не рискуй.</t>
        </is>
      </c>
      <c r="E7" s="60" t="inlineStr">
        <is>
          <t>Достаточно e-mail с формулировкой: «Hiermit mache ich die Vergütung der im Monat … geleisteten … Überstunden geltend.» Храни копию. Это занимает 2 минуты и сохраняет тысячи евро.</t>
        </is>
      </c>
    </row>
    <row r="8" ht="80.5" customHeight="1">
      <c r="B8" s="58" t="inlineStr">
        <is>
          <t>12-часовые ночные смены</t>
        </is>
      </c>
      <c r="C8" s="59" t="inlineStr">
        <is>
          <t>§ 2 Abs. 2: обязан работать в ночь, в выходные и праздники по распоряжению — «soweit dies gesetzlich zulässig ist».</t>
        </is>
      </c>
      <c r="D8" s="59" t="inlineStr">
        <is>
          <t>§ 6 Abs. 2 ArbZG: у ночного работника смена максимум 8 ч, до 10 ч только с компенсацией в течение месяца. 12 ч допустимы лишь при большой доле Bereitschaftsdienst и только на базе тарифа или Betriebsvereinbarung (§ 7 ArbZG). По EzB п. 42 работодатель НЕ tarifgebunden.</t>
        </is>
      </c>
      <c r="E8" s="60" t="inlineStr">
        <is>
          <t>Оговорка «soweit gesetzlich zulässig» работает в твою пользу: сверх законного предела ты не обязан. Если давят — Gewerbeaufsichtsamt Hannover. Обращение может быть анонимным.</t>
        </is>
      </c>
    </row>
    <row r="9" ht="57.5" customHeight="1">
      <c r="B9" s="58" t="inlineStr">
        <is>
          <t>Ночная надбавка 25 %</t>
        </is>
      </c>
      <c r="C9" s="59" t="inlineStr">
        <is>
          <t>§ 3 Abs. 2 a): 25 % за 20:00–06:00.</t>
        </is>
      </c>
      <c r="D9" s="59" t="inlineStr">
        <is>
          <t>§ 6 Abs. 5 ArbZG даёт право на «angemessener Zuschlag». BAG: 25 % — норма при обычной ночной работе; при Dauernachtarbeit (как у тебя — почти только ночи) суды присуждали 30 %.</t>
        </is>
      </c>
      <c r="E9" s="60" t="inlineStr">
        <is>
          <t>Реальный аргумент на переговорах о повышении. 5 % от 170 ночных часов — это около 230 € в месяц.</t>
        </is>
      </c>
    </row>
    <row r="10" ht="46" customHeight="1">
      <c r="B10" s="58" t="inlineStr">
        <is>
          <t>Надбавки на переработку</t>
        </is>
      </c>
      <c r="C10" s="59" t="inlineStr">
        <is>
          <t>§ 3 Abs. 2: надбавки начисляются «je Stunde auf die (Grund-)Vergütung» — на каждый час, без исключений для переработки.</t>
        </is>
      </c>
      <c r="D10" s="59" t="inlineStr">
        <is>
          <t>Значит за переработанные ночные часы надбавка 25 % тоже положена. Частая ошибка расчётчиков — начислить надбавки только на часы в пределах нормы.</t>
        </is>
      </c>
      <c r="E10" s="60" t="inlineStr">
        <is>
          <t>Сверь в Lohnabrechnung: количество часов с надбавкой должно совпасть с колонками «Ночь/Воскр./Праздн.» этого файла, а не быть меньше.</t>
        </is>
      </c>
    </row>
    <row r="11" ht="57.5" customHeight="1">
      <c r="B11" s="58" t="inlineStr">
        <is>
          <t>Надбавки в отпуске и на больничном</t>
        </is>
      </c>
      <c r="C11" s="59" t="inlineStr">
        <is>
          <t>§ 5 и § 6 отсылают к закону.</t>
        </is>
      </c>
      <c r="D11" s="59" t="inlineStr">
        <is>
          <t>§ 11 BUrlG: отпускные — среднее за 13 недель ВКЛЮЧАЯ надбавки. § 4 EFZG: больничный — по принципу Lohnausfall, тоже с надбавками за смены по графику.</t>
        </is>
      </c>
      <c r="E11" s="60" t="inlineStr">
        <is>
          <t>Проверь: если в месяц с отпуском надбавки резко упали — это ошибка расчёта. Такие надбавки, в отличие от обычных, облагаются налогом (§ 3b требует фактической работы) — файл это учитывает.</t>
        </is>
      </c>
    </row>
    <row r="12" ht="46" customHeight="1">
      <c r="B12" s="58" t="inlineStr">
        <is>
          <t>Праздники 135 %</t>
        </is>
      </c>
      <c r="C12" s="59" t="inlineStr">
        <is>
          <t>§ 3 Abs. 2 d): 135 % за праздник без отгула, 35 % — если дают отгул.</t>
        </is>
      </c>
      <c r="D12" s="59" t="inlineStr">
        <is>
          <t>Разница огромная: 12-часовая смена в праздник — 437,40 € надбавки без отгула против 113,40 € с отгулом. Свободны от налога только 125 %, остальные 10 % облагаются.</t>
        </is>
      </c>
      <c r="E12" s="60" t="inlineStr">
        <is>
          <t>Заранее уточняй по каждому празднику: с отгулом или без. В файле есть колонка FZA — ставь j (с отгулом) или n (без).</t>
        </is>
      </c>
    </row>
    <row r="13" ht="46" customHeight="1">
      <c r="B13" s="58" t="inlineStr">
        <is>
          <t>Служебная машина</t>
        </is>
      </c>
      <c r="C13" s="59" t="inlineStr">
        <is>
          <t>§ 12 Abs. 1: машина предоставляется, ЛЮБОЕ личное использование запрещено — включая дорогу из дома до места работы.</t>
        </is>
      </c>
      <c r="D13" s="59" t="inlineStr">
        <is>
          <t>Раз личного использования нет, нет и geldwerter Vorteil. Правило 1 % применяться НЕ должно.</t>
        </is>
      </c>
      <c r="E13" s="60" t="inlineStr">
        <is>
          <t>Проверь Lohnabrechnung: если там есть строка «geldwerter Vorteil Pkw» или «1 %-Regelung» — это ошибка, ты платишь лишний налог и взносы.</t>
        </is>
      </c>
    </row>
    <row r="14" ht="46" customHeight="1">
      <c r="B14" s="58" t="inlineStr">
        <is>
          <t>Дорога до работы</t>
        </is>
      </c>
      <c r="C14" s="59" t="inlineStr">
        <is>
          <t>§ 2 Abs. 5: дорога дом–работа рабочим временем не считается.</t>
        </is>
      </c>
      <c r="D14" s="59" t="inlineStr">
        <is>
          <t>Это законно. НО поездки МЕЖДУ пациентами в течение смены — рабочее время и должны оплачиваться.</t>
        </is>
      </c>
      <c r="E14" s="60" t="inlineStr">
        <is>
          <t>Если ездишь между объектами — фиксируй это время и требуй оплаты.</t>
        </is>
      </c>
    </row>
    <row r="15" ht="57.5" customHeight="1">
      <c r="B15" s="58" t="inlineStr">
        <is>
          <t>Отпуск</t>
        </is>
      </c>
      <c r="C15" s="59" t="inlineStr">
        <is>
          <t>§ 5 Abs. 1: «по закону». В EzB стояло 15 дней — но это было для 21 ч/нед.</t>
        </is>
      </c>
      <c r="D15" s="59" t="inlineStr">
        <is>
          <t>§ 3 BUrlG при 5-дневной неделе — 20 рабочих дней. Плюс дополнительный оплачиваемый отпуск по PflegeArbbV. При работе по сменам отпуск пересчитывается по фактическим рабочим дням.</t>
        </is>
      </c>
      <c r="E15" s="60" t="inlineStr">
        <is>
          <t>Требуй письменного подтверждения количества дней на полной ставке. 15 дней для Vollzeit было бы нарушением закона.</t>
        </is>
      </c>
    </row>
    <row r="16" ht="57.5" customHeight="1">
      <c r="B16" s="58" t="inlineStr">
        <is>
          <t>EzB и договор расходятся</t>
        </is>
      </c>
      <c r="C16" s="59" t="inlineStr">
        <is>
          <t>EzB от 13.07.2026: 21 ч/нед, 2.184,00 €, старт 15.07.26. Договор от 01.08.2026: 40 ч/нед, 4.676,40 €.</t>
        </is>
      </c>
      <c r="D16" s="59" t="inlineStr">
        <is>
          <t>Действует договор — § 18 Abs. 2 прямо заменяет все предыдущие соглашения. Но у Ausländerbehörde в деле лежит версия с 21 часом.</t>
        </is>
      </c>
      <c r="E16" s="60" t="inlineStr">
        <is>
          <t>Расхождение между разрешением на работу и фактической занятостью — риск для твоего вида на жительство. Проси работодателя подать новую EzB на полную ставку и оставь себе копию.</t>
        </is>
      </c>
    </row>
    <row r="17" ht="46" customHeight="1">
      <c r="B17" s="58" t="inlineStr">
        <is>
          <t>Штрафы по договору</t>
        </is>
      </c>
      <c r="C17" s="59" t="inlineStr">
        <is>
          <t>§ 9: до одного месячного оклада за нарушение конфиденциальности или невыход на работу. § 17: запрет переманивать сотрудников 24 месяца, тоже месячный оклад.</t>
        </is>
      </c>
      <c r="D17" s="59" t="inlineStr">
        <is>
          <t>Такие оговорки часто признают недействительными, но спорить дорого.</t>
        </is>
      </c>
      <c r="E17" s="60" t="inlineStr">
        <is>
          <t>Просто знай: увольнение без соблюдения срока = штраф до 4.676,40 €.</t>
        </is>
      </c>
    </row>
    <row r="18" ht="46" customHeight="1">
      <c r="B18" s="58" t="inlineStr">
        <is>
          <t>Выплата и проверка</t>
        </is>
      </c>
      <c r="C18" s="59" t="inlineStr">
        <is>
          <t>§ 3 Abs. 3: 15-го числа следующего месяца, безналично.</t>
        </is>
      </c>
      <c r="D18" s="59" t="inlineStr">
        <is>
          <t>Работодатель обязан выдать понятную расчётку (§ 108 GewO) с разбивкой по видам надбавок.</t>
        </is>
      </c>
      <c r="E18" s="60" t="inlineStr">
        <is>
          <t>Каждый месяц сверяй расчётку с этим файлом. Расхождение больше пары евро — пиши сразу, не жди.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34" customWidth="1" min="3" max="3"/>
    <col width="60" customWidth="1" min="4" max="4"/>
  </cols>
  <sheetData>
    <row r="1" ht="26" customHeight="1">
      <c r="A1" s="1" t="inlineStr">
        <is>
          <t>МОИ ДАННЫЕ / PERSÖNLICHE DATEN</t>
        </is>
      </c>
    </row>
    <row r="2" ht="34" customHeight="1">
      <c r="B2" s="61" t="inlineStr">
        <is>
          <t>ПОЛЯ ОСТАВЛЕНЫ ПУСТЫМИ НАМЕРЕННО: этот файл лежит в публичном репозитории GitHub. Заполни их у себя на телефоне/компьютере и НЕ загружай файл с данными обратно в репозиторий. Steuer-ID и SV-Nummer — это идентификаторы, по которым возможно мошенничество.</t>
        </is>
      </c>
    </row>
    <row r="4">
      <c r="B4" s="3" t="inlineStr">
        <is>
          <t>ЛИЧНОЕ</t>
        </is>
      </c>
    </row>
    <row r="5">
      <c r="B5" s="4" t="inlineStr">
        <is>
          <t>Фамилия, имя</t>
        </is>
      </c>
      <c r="C5" s="6" t="inlineStr">
        <is>
          <t>Name, Vorname</t>
        </is>
      </c>
      <c r="D5" s="62" t="inlineStr">
        <is>
          <t>Karimov, Alisher</t>
        </is>
      </c>
    </row>
    <row r="6">
      <c r="B6" s="4" t="inlineStr">
        <is>
          <t>Дата рождения</t>
        </is>
      </c>
      <c r="C6" s="6" t="inlineStr">
        <is>
          <t>Geburtsdatum</t>
        </is>
      </c>
      <c r="D6" s="62" t="inlineStr">
        <is>
          <t>07.02.1998</t>
        </is>
      </c>
    </row>
    <row r="7">
      <c r="B7" s="4" t="inlineStr">
        <is>
          <t>Адрес</t>
        </is>
      </c>
      <c r="C7" s="6" t="inlineStr">
        <is>
          <t>Anschrift</t>
        </is>
      </c>
      <c r="D7" s="63" t="inlineStr"/>
    </row>
    <row r="8">
      <c r="B8" s="4" t="inlineStr">
        <is>
          <t>Номер соцстрахования</t>
        </is>
      </c>
      <c r="C8" s="6" t="inlineStr">
        <is>
          <t>Sozialversicherungsnummer</t>
        </is>
      </c>
      <c r="D8" s="63" t="inlineStr"/>
    </row>
    <row r="9">
      <c r="B9" s="4" t="inlineStr">
        <is>
          <t>Налоговый номер</t>
        </is>
      </c>
      <c r="C9" s="6" t="inlineStr">
        <is>
          <t>Steuer-Identifikationsnummer</t>
        </is>
      </c>
      <c r="D9" s="63" t="inlineStr"/>
    </row>
    <row r="10">
      <c r="B10" s="4" t="inlineStr">
        <is>
          <t>Больничная касса</t>
        </is>
      </c>
      <c r="C10" s="6" t="inlineStr">
        <is>
          <t>Krankenkasse</t>
        </is>
      </c>
      <c r="D10" s="63" t="inlineStr"/>
    </row>
    <row r="11">
      <c r="B11" s="4" t="inlineStr">
        <is>
          <t>Доп. взнос кассы, %</t>
        </is>
      </c>
      <c r="C11" s="6" t="inlineStr">
        <is>
          <t>Zusatzbeitrag</t>
        </is>
      </c>
      <c r="D11" s="63" t="inlineStr"/>
    </row>
    <row r="12">
      <c r="B12" s="3" t="inlineStr">
        <is>
          <t>НАЛОГИ</t>
        </is>
      </c>
    </row>
    <row r="13">
      <c r="B13" s="4" t="inlineStr">
        <is>
          <t>Налоговый класс</t>
        </is>
      </c>
      <c r="C13" s="6" t="inlineStr">
        <is>
          <t>Steuerklasse</t>
        </is>
      </c>
      <c r="D13" s="62" t="inlineStr">
        <is>
          <t>3</t>
        </is>
      </c>
    </row>
    <row r="14">
      <c r="B14" s="4" t="inlineStr">
        <is>
          <t>Детские вычеты</t>
        </is>
      </c>
      <c r="C14" s="6" t="inlineStr">
        <is>
          <t>Kinderfreibeträge</t>
        </is>
      </c>
      <c r="D14" s="62" t="inlineStr">
        <is>
          <t>1,0</t>
        </is>
      </c>
    </row>
    <row r="15">
      <c r="B15" s="4" t="inlineStr">
        <is>
          <t>Ребёнок, дата рождения</t>
        </is>
      </c>
      <c r="C15" s="6" t="inlineStr">
        <is>
          <t>Kind, geboren am</t>
        </is>
      </c>
      <c r="D15" s="63" t="inlineStr"/>
    </row>
    <row r="16">
      <c r="B16" s="4" t="inlineStr">
        <is>
          <t>Церковный налог</t>
        </is>
      </c>
      <c r="C16" s="6" t="inlineStr">
        <is>
          <t>Kirchensteuer</t>
        </is>
      </c>
      <c r="D16" s="62" t="inlineStr">
        <is>
          <t>nein</t>
        </is>
      </c>
    </row>
    <row r="17">
      <c r="B17" s="3" t="inlineStr">
        <is>
          <t>РАБОТА</t>
        </is>
      </c>
    </row>
    <row r="18">
      <c r="B18" s="4" t="inlineStr">
        <is>
          <t>Работодатель</t>
        </is>
      </c>
      <c r="C18" s="6" t="inlineStr">
        <is>
          <t>Arbeitgeber</t>
        </is>
      </c>
      <c r="D18" s="62" t="inlineStr">
        <is>
          <t>Constantia Intensivpflege GmbH</t>
        </is>
      </c>
    </row>
    <row r="19">
      <c r="B19" s="4" t="inlineStr">
        <is>
          <t>Адрес работодателя</t>
        </is>
      </c>
      <c r="C19" s="6" t="inlineStr">
        <is>
          <t>Anschrift AG</t>
        </is>
      </c>
      <c r="D19" s="62" t="inlineStr">
        <is>
          <t>Theaterstraße 1, 30159 Hannover</t>
        </is>
      </c>
    </row>
    <row r="20">
      <c r="B20" s="4" t="inlineStr">
        <is>
          <t>Betriebsnummer</t>
        </is>
      </c>
      <c r="C20" s="6" t="inlineStr">
        <is>
          <t>Betriebsnummer</t>
        </is>
      </c>
      <c r="D20" s="62" t="inlineStr">
        <is>
          <t>70027532</t>
        </is>
      </c>
    </row>
    <row r="21">
      <c r="B21" s="4" t="inlineStr">
        <is>
          <t>Должность</t>
        </is>
      </c>
      <c r="C21" s="6" t="inlineStr">
        <is>
          <t>Tätigkeit</t>
        </is>
      </c>
      <c r="D21" s="62" t="inlineStr">
        <is>
          <t>Examinierte Pflegefachkraft, außerklinische Intensivpflege 1:1</t>
        </is>
      </c>
    </row>
    <row r="22">
      <c r="B22" s="4" t="inlineStr">
        <is>
          <t>Начало работы по договору</t>
        </is>
      </c>
      <c r="C22" s="6" t="inlineStr">
        <is>
          <t>Beginn</t>
        </is>
      </c>
      <c r="D22" s="62" t="inlineStr">
        <is>
          <t>01.08.2026</t>
        </is>
      </c>
    </row>
    <row r="23">
      <c r="B23" s="4" t="inlineStr">
        <is>
          <t>Испытательный срок</t>
        </is>
      </c>
      <c r="C23" s="6" t="inlineStr">
        <is>
          <t>Probezeit</t>
        </is>
      </c>
      <c r="D23" s="62" t="inlineStr">
        <is>
          <t>в договоре не предусмотрен</t>
        </is>
      </c>
    </row>
    <row r="24">
      <c r="B24" s="4" t="inlineStr">
        <is>
          <t>Контактное лицо</t>
        </is>
      </c>
      <c r="C24" s="6" t="inlineStr">
        <is>
          <t>Kontaktperson</t>
        </is>
      </c>
      <c r="D24" s="62" t="inlineStr">
        <is>
          <t>Christopher Kruhl · 0511 43834924 · info@constantia-intensiv.de</t>
        </is>
      </c>
    </row>
  </sheetData>
  <mergeCells count="5">
    <mergeCell ref="A1:D1"/>
    <mergeCell ref="B4:D4"/>
    <mergeCell ref="B17:D17"/>
    <mergeCell ref="B12:D12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</cols>
  <sheetData>
    <row r="1" ht="26" customHeight="1">
      <c r="A1" s="1" t="inlineStr">
        <is>
          <t>СВОДКА ЗА ГОД / JAHRESÜBERSICHT</t>
        </is>
      </c>
    </row>
    <row r="2">
      <c r="B2" s="2" t="inlineStr">
        <is>
          <t>Каждый месяц: копия файла → расчёт → перенеси итоги сюда. Колонка «Счёт часов» — остаток переносимых часов на конец месяца.</t>
        </is>
      </c>
    </row>
    <row r="4">
      <c r="B4" s="20" t="inlineStr">
        <is>
          <t>Месяц</t>
        </is>
      </c>
      <c r="C4" s="20" t="inlineStr">
        <is>
          <t>Часы</t>
        </is>
      </c>
      <c r="D4" s="20" t="inlineStr">
        <is>
          <t>Брутто</t>
        </is>
      </c>
      <c r="E4" s="20" t="inlineStr">
        <is>
          <t>Надбавки</t>
        </is>
      </c>
      <c r="F4" s="20" t="inlineStr">
        <is>
          <t>Соцвзносы</t>
        </is>
      </c>
      <c r="G4" s="20" t="inlineStr">
        <is>
          <t>Налоги</t>
        </is>
      </c>
      <c r="H4" s="20" t="inlineStr">
        <is>
          <t>Нетто</t>
        </is>
      </c>
      <c r="I4" s="20" t="inlineStr">
        <is>
          <t>Счёт часов</t>
        </is>
      </c>
    </row>
    <row r="5">
      <c r="B5" s="64" t="inlineStr">
        <is>
          <t>Январь</t>
        </is>
      </c>
      <c r="C5" s="31" t="n"/>
      <c r="D5" s="65" t="n"/>
      <c r="E5" s="65" t="n"/>
      <c r="F5" s="65" t="n"/>
      <c r="G5" s="65" t="n"/>
      <c r="H5" s="65" t="n"/>
      <c r="I5" s="31" t="n"/>
    </row>
    <row r="6">
      <c r="B6" s="64" t="inlineStr">
        <is>
          <t>Февраль</t>
        </is>
      </c>
      <c r="C6" s="31" t="n"/>
      <c r="D6" s="65" t="n"/>
      <c r="E6" s="65" t="n"/>
      <c r="F6" s="65" t="n"/>
      <c r="G6" s="65" t="n"/>
      <c r="H6" s="65" t="n"/>
      <c r="I6" s="31" t="n"/>
    </row>
    <row r="7">
      <c r="B7" s="64" t="inlineStr">
        <is>
          <t>Март</t>
        </is>
      </c>
      <c r="C7" s="31" t="n"/>
      <c r="D7" s="65" t="n"/>
      <c r="E7" s="65" t="n"/>
      <c r="F7" s="65" t="n"/>
      <c r="G7" s="65" t="n"/>
      <c r="H7" s="65" t="n"/>
      <c r="I7" s="31" t="n"/>
    </row>
    <row r="8">
      <c r="B8" s="64" t="inlineStr">
        <is>
          <t>Апрель</t>
        </is>
      </c>
      <c r="C8" s="31" t="n"/>
      <c r="D8" s="65" t="n"/>
      <c r="E8" s="65" t="n"/>
      <c r="F8" s="65" t="n"/>
      <c r="G8" s="65" t="n"/>
      <c r="H8" s="65" t="n"/>
      <c r="I8" s="31" t="n"/>
    </row>
    <row r="9">
      <c r="B9" s="64" t="inlineStr">
        <is>
          <t>Май</t>
        </is>
      </c>
      <c r="C9" s="31" t="n"/>
      <c r="D9" s="65" t="n"/>
      <c r="E9" s="65" t="n"/>
      <c r="F9" s="65" t="n"/>
      <c r="G9" s="65" t="n"/>
      <c r="H9" s="65" t="n"/>
      <c r="I9" s="31" t="n"/>
    </row>
    <row r="10">
      <c r="B10" s="64" t="inlineStr">
        <is>
          <t>Июнь</t>
        </is>
      </c>
      <c r="C10" s="31" t="n"/>
      <c r="D10" s="65" t="n"/>
      <c r="E10" s="65" t="n"/>
      <c r="F10" s="65" t="n"/>
      <c r="G10" s="65" t="n"/>
      <c r="H10" s="65" t="n"/>
      <c r="I10" s="31" t="n"/>
    </row>
    <row r="11">
      <c r="B11" s="64" t="inlineStr">
        <is>
          <t>Июль</t>
        </is>
      </c>
      <c r="C11" s="31" t="n"/>
      <c r="D11" s="65" t="n"/>
      <c r="E11" s="65" t="n"/>
      <c r="F11" s="65" t="n"/>
      <c r="G11" s="65" t="n"/>
      <c r="H11" s="65" t="n"/>
      <c r="I11" s="31" t="n"/>
    </row>
    <row r="12">
      <c r="B12" s="64" t="inlineStr">
        <is>
          <t>Август</t>
        </is>
      </c>
      <c r="C12" s="31" t="n"/>
      <c r="D12" s="65" t="n"/>
      <c r="E12" s="65" t="n"/>
      <c r="F12" s="65" t="n"/>
      <c r="G12" s="65" t="n"/>
      <c r="H12" s="65" t="n"/>
      <c r="I12" s="31" t="n"/>
    </row>
    <row r="13">
      <c r="B13" s="64" t="inlineStr">
        <is>
          <t>Сентябрь</t>
        </is>
      </c>
      <c r="C13" s="31" t="n"/>
      <c r="D13" s="65" t="n"/>
      <c r="E13" s="65" t="n"/>
      <c r="F13" s="65" t="n"/>
      <c r="G13" s="65" t="n"/>
      <c r="H13" s="65" t="n"/>
      <c r="I13" s="31" t="n"/>
    </row>
    <row r="14">
      <c r="B14" s="64" t="inlineStr">
        <is>
          <t>Октябрь</t>
        </is>
      </c>
      <c r="C14" s="31" t="n"/>
      <c r="D14" s="65" t="n"/>
      <c r="E14" s="65" t="n"/>
      <c r="F14" s="65" t="n"/>
      <c r="G14" s="65" t="n"/>
      <c r="H14" s="65" t="n"/>
      <c r="I14" s="31" t="n"/>
    </row>
    <row r="15">
      <c r="B15" s="64" t="inlineStr">
        <is>
          <t>Ноябрь</t>
        </is>
      </c>
      <c r="C15" s="31" t="n"/>
      <c r="D15" s="65" t="n"/>
      <c r="E15" s="65" t="n"/>
      <c r="F15" s="65" t="n"/>
      <c r="G15" s="65" t="n"/>
      <c r="H15" s="65" t="n"/>
      <c r="I15" s="31" t="n"/>
    </row>
    <row r="16">
      <c r="B16" s="64" t="inlineStr">
        <is>
          <t>Декабрь</t>
        </is>
      </c>
      <c r="C16" s="31" t="n"/>
      <c r="D16" s="65" t="n"/>
      <c r="E16" s="65" t="n"/>
      <c r="F16" s="65" t="n"/>
      <c r="G16" s="65" t="n"/>
      <c r="H16" s="65" t="n"/>
      <c r="I16" s="31" t="n"/>
    </row>
    <row r="17">
      <c r="B17" s="66" t="inlineStr">
        <is>
          <t>ИТОГО</t>
        </is>
      </c>
      <c r="C17" s="67">
        <f>SUM(C5:C16)</f>
        <v/>
      </c>
      <c r="D17" s="68">
        <f>SUM(D5:D16)</f>
        <v/>
      </c>
      <c r="E17" s="68">
        <f>SUM(E5:E16)</f>
        <v/>
      </c>
      <c r="F17" s="68">
        <f>SUM(F5:F16)</f>
        <v/>
      </c>
      <c r="G17" s="68">
        <f>SUM(G5:G16)</f>
        <v/>
      </c>
      <c r="H17" s="68">
        <f>SUM(H5:H16)</f>
        <v/>
      </c>
    </row>
    <row r="19">
      <c r="B19" s="27" t="inlineStr">
        <is>
          <t>Зачем это нужно:</t>
        </is>
      </c>
    </row>
    <row r="20">
      <c r="B20" s="6" t="inlineStr">
        <is>
          <t>· Не пропустить срок § 14 (3 месяца) ни по одному месяцу.</t>
        </is>
      </c>
    </row>
    <row r="21">
      <c r="B21" s="6" t="inlineStr">
        <is>
          <t>· Видеть, как растёт счёт неоплаченных часов — при лимите 60 ч/мес он может копиться бесконечно.</t>
        </is>
      </c>
    </row>
    <row r="22">
      <c r="B22" s="6" t="inlineStr">
        <is>
          <t>· Понять, выгодна ли Steuererklärung: при неровном доходе почти всегда возвращают деньги.</t>
        </is>
      </c>
    </row>
    <row r="23">
      <c r="B23" s="6" t="inlineStr">
        <is>
          <t>· Контроль среднего рабочего времени за 6 месяцев (§ 3 ArbZG — не более 48 ч/нед).</t>
        </is>
      </c>
    </row>
    <row r="24">
      <c r="B24" s="6" t="inlineStr">
        <is>
          <t>· База для отпускных (§ 11 BUrlG — среднее за 13 недель, включая надбавки).</t>
        </is>
      </c>
    </row>
  </sheetData>
  <mergeCells count="6">
    <mergeCell ref="B21:I21"/>
    <mergeCell ref="B24:I24"/>
    <mergeCell ref="B20:I20"/>
    <mergeCell ref="A1:I1"/>
    <mergeCell ref="B22:I22"/>
    <mergeCell ref="B23:I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0" customWidth="1" min="3" max="3"/>
    <col width="10" customWidth="1" min="4" max="4"/>
    <col width="9" customWidth="1" min="5" max="5"/>
    <col width="14" customWidth="1" min="6" max="6"/>
    <col width="14" customWidth="1" min="7" max="7"/>
    <col width="44" customWidth="1" min="8" max="8"/>
  </cols>
  <sheetData>
    <row r="1" ht="26" customHeight="1">
      <c r="A1" s="1" t="inlineStr">
        <is>
          <t>СВЕРКА С РЕАЛЬНОЙ РАСЧЁТКОЙ / ABGLEICH MIT DER LOHNABRECHNUNG</t>
        </is>
      </c>
    </row>
    <row r="2">
      <c r="B2" s="2" t="inlineStr">
        <is>
          <t>Данные взяты дословно из Verdienstnachweis 07/2026 и 08/2026 (Constantia Intensivpflege GmbH). Колонка «Проверка» пересчитывает сумму формулой — если совпало, строка верна.</t>
        </is>
      </c>
    </row>
    <row r="3" ht="19" customHeight="1">
      <c r="B3" s="3" t="inlineStr">
        <is>
          <t>АВГУСТ 2026 — Abrechnung vom 09.09.2026, выплата 14.09.2026</t>
        </is>
      </c>
    </row>
    <row r="4">
      <c r="B4" s="20" t="inlineStr">
        <is>
          <t>Строка расчётки</t>
        </is>
      </c>
      <c r="C4" s="20" t="inlineStr">
        <is>
          <t>Часы</t>
        </is>
      </c>
      <c r="D4" s="20" t="inlineStr">
        <is>
          <t>Ставка</t>
        </is>
      </c>
      <c r="E4" s="20" t="inlineStr">
        <is>
          <t>%</t>
        </is>
      </c>
      <c r="F4" s="20" t="inlineStr">
        <is>
          <t>В расчётке</t>
        </is>
      </c>
      <c r="G4" s="20" t="inlineStr">
        <is>
          <t>Проверка</t>
        </is>
      </c>
      <c r="H4" s="20" t="inlineStr">
        <is>
          <t>Комментарий</t>
        </is>
      </c>
    </row>
    <row r="5">
      <c r="B5" s="64" t="inlineStr">
        <is>
          <t>101 Stundenlohn</t>
        </is>
      </c>
      <c r="C5" s="32" t="n">
        <v>168</v>
      </c>
      <c r="D5" s="69" t="n">
        <v>27</v>
      </c>
      <c r="E5" s="29" t="inlineStr"/>
      <c r="F5" s="69" t="n">
        <v>4536</v>
      </c>
      <c r="G5" s="70">
        <f>ROUND($C5*$D5*IF($E5="",1,$E5),2)</f>
        <v/>
      </c>
      <c r="H5" s="8" t="inlineStr">
        <is>
          <t>Норма месяца (Zeitlohn Stunden)</t>
        </is>
      </c>
    </row>
    <row r="6">
      <c r="B6" s="64" t="inlineStr">
        <is>
          <t>103 Überstdgrundvergütung</t>
        </is>
      </c>
      <c r="C6" s="32" t="n">
        <v>48</v>
      </c>
      <c r="D6" s="69" t="n">
        <v>27</v>
      </c>
      <c r="E6" s="29" t="inlineStr"/>
      <c r="F6" s="69" t="n">
        <v>1296</v>
      </c>
      <c r="G6" s="70">
        <f>ROUND($C6*$D6*IF($E6="",1,$E6),2)</f>
        <v/>
      </c>
      <c r="H6" s="8" t="inlineStr">
        <is>
          <t>Переработка. Та же ставка, надбавки за переработку нет</t>
        </is>
      </c>
    </row>
    <row r="7">
      <c r="B7" s="64" t="inlineStr">
        <is>
          <t>114 Nacht 25% frei</t>
        </is>
      </c>
      <c r="C7" s="32" t="n">
        <v>132</v>
      </c>
      <c r="D7" s="69" t="n">
        <v>27</v>
      </c>
      <c r="E7" s="71" t="n">
        <v>0.25</v>
      </c>
      <c r="F7" s="69" t="n">
        <v>891</v>
      </c>
      <c r="G7" s="70">
        <f>ROUND($C7*$D7*IF($E7="",1,$E7),2)</f>
        <v/>
      </c>
      <c r="H7" s="8" t="inlineStr">
        <is>
          <t>Ночная надбавка. F F = без налога и без взносов</t>
        </is>
      </c>
    </row>
    <row r="8">
      <c r="B8" s="64" t="inlineStr">
        <is>
          <t>115 Sonntag 50% frei</t>
        </is>
      </c>
      <c r="C8" s="32" t="n">
        <v>44</v>
      </c>
      <c r="D8" s="69" t="n">
        <v>27</v>
      </c>
      <c r="E8" s="71" t="n">
        <v>0.5</v>
      </c>
      <c r="F8" s="69" t="n">
        <v>594</v>
      </c>
      <c r="G8" s="70">
        <f>ROUND($C8*$D8*IF($E8="",1,$E8),2)</f>
        <v/>
      </c>
      <c r="H8" s="8" t="inlineStr">
        <is>
          <t>Воскресная надбавка. F F = без налога и без взносов</t>
        </is>
      </c>
    </row>
    <row r="9">
      <c r="B9" s="72" t="inlineStr">
        <is>
          <t>Gesamt-Brutto</t>
        </is>
      </c>
      <c r="C9" s="73" t="n"/>
      <c r="D9" s="73" t="n"/>
      <c r="E9" s="73" t="n"/>
      <c r="F9" s="68" t="n">
        <v>7317</v>
      </c>
      <c r="G9" s="74">
        <f>SUM($F$5:$F$8)</f>
        <v/>
      </c>
      <c r="H9" s="8" t="inlineStr">
        <is>
          <t>Сумма четырёх строк выше</t>
        </is>
      </c>
    </row>
    <row r="10">
      <c r="B10" s="64" t="inlineStr">
        <is>
          <t>Steuer-Brutto</t>
        </is>
      </c>
      <c r="C10" s="73" t="n"/>
      <c r="D10" s="73" t="n"/>
      <c r="E10" s="73" t="n"/>
      <c r="F10" s="69" t="n">
        <v>5832</v>
      </c>
      <c r="G10" s="73" t="n"/>
      <c r="H10" s="8" t="inlineStr">
        <is>
          <t>4.536 + 1.296. Надбавки 891 + 594 в базу не входят — § 3b EStG</t>
        </is>
      </c>
    </row>
    <row r="11">
      <c r="B11" s="64" t="inlineStr">
        <is>
          <t>Lohnsteuer</t>
        </is>
      </c>
      <c r="C11" s="73" t="n"/>
      <c r="D11" s="73" t="n"/>
      <c r="E11" s="73" t="n"/>
      <c r="F11" s="69" t="n">
        <v>-587.66</v>
      </c>
      <c r="G11" s="73" t="n"/>
      <c r="H11" s="8" t="inlineStr">
        <is>
          <t>Класс 3, 1 ребёнок</t>
        </is>
      </c>
    </row>
    <row r="12">
      <c r="B12" s="64" t="inlineStr">
        <is>
          <t>KV-Beitrag</t>
        </is>
      </c>
      <c r="C12" s="73" t="n"/>
      <c r="D12" s="73" t="n"/>
      <c r="E12" s="73" t="n"/>
      <c r="F12" s="69" t="n">
        <v>-511.21</v>
      </c>
      <c r="G12" s="73" t="n"/>
      <c r="H12" s="8" t="inlineStr">
        <is>
          <t>5.812,50 € (потолок) × 8,795 % = (14,6 % + 2,99 %) / 2 → доп. взнос AOK BW = 2,99 %</t>
        </is>
      </c>
    </row>
    <row r="13">
      <c r="B13" s="64" t="inlineStr">
        <is>
          <t>RV-Beitrag</t>
        </is>
      </c>
      <c r="C13" s="73" t="n"/>
      <c r="D13" s="73" t="n"/>
      <c r="E13" s="73" t="n"/>
      <c r="F13" s="69" t="n">
        <v>-542.38</v>
      </c>
      <c r="G13" s="73" t="n"/>
      <c r="H13" s="8" t="inlineStr">
        <is>
          <t>5.832,00 € × 9,3 %</t>
        </is>
      </c>
    </row>
    <row r="14">
      <c r="B14" s="64" t="inlineStr">
        <is>
          <t>AV-Beitrag</t>
        </is>
      </c>
      <c r="C14" s="73" t="n"/>
      <c r="D14" s="73" t="n"/>
      <c r="E14" s="73" t="n"/>
      <c r="F14" s="69" t="n">
        <v>-75.81999999999999</v>
      </c>
      <c r="G14" s="73" t="n"/>
      <c r="H14" s="8" t="inlineStr">
        <is>
          <t>5.832,00 € × 1,3 %</t>
        </is>
      </c>
    </row>
    <row r="15">
      <c r="B15" s="64" t="inlineStr">
        <is>
          <t>PV-Beitrag</t>
        </is>
      </c>
      <c r="C15" s="73" t="n"/>
      <c r="D15" s="73" t="n"/>
      <c r="E15" s="73" t="n"/>
      <c r="F15" s="69" t="n">
        <v>-104.63</v>
      </c>
      <c r="G15" s="73" t="n"/>
      <c r="H15" s="8" t="inlineStr">
        <is>
          <t>5.812,50 € × 1,8 %. Доплата бездетным 0,6 % НЕ удержана — верно, ребёнок учтён («1»)</t>
        </is>
      </c>
    </row>
    <row r="16">
      <c r="B16" s="72" t="inlineStr">
        <is>
          <t>Netto-Verdienst</t>
        </is>
      </c>
      <c r="C16" s="73" t="n"/>
      <c r="D16" s="73" t="n"/>
      <c r="E16" s="73" t="n"/>
      <c r="F16" s="68" t="n">
        <v>5495.3</v>
      </c>
      <c r="G16" s="73" t="n"/>
      <c r="H16" s="8" t="inlineStr">
        <is>
          <t>Всё, что осталось после налога и взносов</t>
        </is>
      </c>
    </row>
    <row r="17">
      <c r="B17" s="64" t="inlineStr">
        <is>
          <t>Abschlag / Vorschuss</t>
        </is>
      </c>
      <c r="C17" s="73" t="n"/>
      <c r="D17" s="73" t="n"/>
      <c r="E17" s="73" t="n"/>
      <c r="F17" s="69" t="n">
        <v>-2000</v>
      </c>
      <c r="G17" s="73" t="n"/>
      <c r="H17" s="8" t="inlineStr">
        <is>
          <t>Аванс, полученный раньше</t>
        </is>
      </c>
    </row>
    <row r="18">
      <c r="B18" s="64" t="inlineStr">
        <is>
          <t>aus NB 07/2026</t>
        </is>
      </c>
      <c r="C18" s="73" t="n"/>
      <c r="D18" s="73" t="n"/>
      <c r="E18" s="73" t="n"/>
      <c r="F18" s="69" t="n">
        <v>117</v>
      </c>
      <c r="G18" s="73" t="n"/>
      <c r="H18" s="8" t="inlineStr">
        <is>
          <t>Доплата ночных за ИЮЛЬ — см. раздел ниже. К августу отношения не имеет</t>
        </is>
      </c>
    </row>
    <row r="19">
      <c r="B19" s="72" t="inlineStr">
        <is>
          <t>Auszahlungsbetrag</t>
        </is>
      </c>
      <c r="C19" s="73" t="n"/>
      <c r="D19" s="73" t="n"/>
      <c r="E19" s="73" t="n"/>
      <c r="F19" s="68" t="n">
        <v>3612.3</v>
      </c>
      <c r="G19" s="73" t="n"/>
      <c r="H19" s="8" t="inlineStr">
        <is>
          <t>Переведено на Sparkasse Hannover</t>
        </is>
      </c>
    </row>
    <row r="21" ht="19" customHeight="1">
      <c r="B21" s="3" t="inlineStr">
        <is>
          <t>АВГУСТ — СХОДЯТСЯ ЛИ ЧАСЫ (числа зафиксированы, лист Dienstplan уже за сентябрь)</t>
        </is>
      </c>
    </row>
    <row r="22">
      <c r="B22" s="20" t="inlineStr">
        <is>
          <t>Строка расчётки</t>
        </is>
      </c>
      <c r="C22" s="20" t="inlineStr">
        <is>
          <t>Часы</t>
        </is>
      </c>
      <c r="D22" s="20" t="inlineStr">
        <is>
          <t>Ставка</t>
        </is>
      </c>
      <c r="E22" s="20" t="inlineStr">
        <is>
          <t>%</t>
        </is>
      </c>
      <c r="F22" s="20" t="inlineStr">
        <is>
          <t>В расчётке</t>
        </is>
      </c>
      <c r="G22" s="20" t="inlineStr">
        <is>
          <t>Проверка</t>
        </is>
      </c>
      <c r="H22" s="20" t="inlineStr">
        <is>
          <t>Комментарий</t>
        </is>
      </c>
    </row>
    <row r="23">
      <c r="B23" s="64" t="inlineStr">
        <is>
          <t>Отработано по графику</t>
        </is>
      </c>
      <c r="C23" s="73" t="n"/>
      <c r="D23" s="73" t="n"/>
      <c r="E23" s="73" t="n"/>
      <c r="F23" s="75" t="n">
        <v>216</v>
      </c>
      <c r="G23" s="73" t="n"/>
      <c r="H23" s="8" t="inlineStr">
        <is>
          <t>16 ND + 2 TD = 18 смен × 12 ч</t>
        </is>
      </c>
    </row>
    <row r="24">
      <c r="B24" s="64" t="inlineStr">
        <is>
          <t>Оплачено по расчётке</t>
        </is>
      </c>
      <c r="C24" s="73" t="n"/>
      <c r="D24" s="73" t="n"/>
      <c r="E24" s="73" t="n"/>
      <c r="F24" s="75" t="n">
        <v>216</v>
      </c>
      <c r="G24" s="73" t="n"/>
      <c r="H24" s="8" t="inlineStr">
        <is>
          <t>168 (норма) + 48 (переработка)</t>
        </is>
      </c>
    </row>
    <row r="25">
      <c r="B25" s="72" t="inlineStr">
        <is>
          <t>Разница</t>
        </is>
      </c>
      <c r="C25" s="73" t="n"/>
      <c r="D25" s="73" t="n"/>
      <c r="E25" s="73" t="n"/>
      <c r="F25" s="76">
        <f>$F$23-$F$24</f>
        <v/>
      </c>
      <c r="G25" s="73" t="n"/>
      <c r="H25" s="8" t="inlineStr">
        <is>
          <t>0 = всё оплачено</t>
        </is>
      </c>
    </row>
    <row r="26">
      <c r="B26" s="64" t="inlineStr">
        <is>
          <t>Ночных часов по графику</t>
        </is>
      </c>
      <c r="C26" s="73" t="n"/>
      <c r="D26" s="73" t="n"/>
      <c r="E26" s="73" t="n"/>
      <c r="F26" s="75" t="n">
        <v>132</v>
      </c>
      <c r="G26" s="73" t="n"/>
      <c r="H26" s="8" t="inlineStr">
        <is>
          <t>20:00–06:00 БЕЗ тех, что попали на воскресенье — их работодатель платит как воскресные (50 %), а не как ночные (25 %)</t>
        </is>
      </c>
    </row>
    <row r="27">
      <c r="B27" s="64" t="inlineStr">
        <is>
          <t>из них пришлось на воскресенье</t>
        </is>
      </c>
      <c r="C27" s="73" t="n"/>
      <c r="D27" s="73" t="n"/>
      <c r="E27" s="73" t="n"/>
      <c r="F27" s="75" t="n">
        <v>28</v>
      </c>
      <c r="G27" s="73" t="n"/>
      <c r="H27" s="8" t="inlineStr">
        <is>
          <t>Всего ночных часов по графику 160. Совпадение надбавок: платится только самая высокая — § 3 Abs. 2 договора</t>
        </is>
      </c>
    </row>
    <row r="28">
      <c r="B28" s="64" t="inlineStr">
        <is>
          <t>Ночных по расчётке</t>
        </is>
      </c>
      <c r="C28" s="73" t="n"/>
      <c r="D28" s="73" t="n"/>
      <c r="E28" s="73" t="n"/>
      <c r="F28" s="75" t="n">
        <v>132</v>
      </c>
      <c r="G28" s="73" t="n"/>
      <c r="H28" s="8" t="inlineStr"/>
    </row>
    <row r="29">
      <c r="B29" s="64" t="inlineStr">
        <is>
          <t>Воскресных по графику</t>
        </is>
      </c>
      <c r="C29" s="73" t="n"/>
      <c r="D29" s="73" t="n"/>
      <c r="E29" s="73" t="n"/>
      <c r="F29" s="75" t="n">
        <v>44</v>
      </c>
      <c r="G29" s="73" t="n"/>
      <c r="H29" s="8" t="inlineStr"/>
    </row>
    <row r="30">
      <c r="B30" s="64" t="inlineStr">
        <is>
          <t>Воскресных по расчётке</t>
        </is>
      </c>
      <c r="C30" s="73" t="n"/>
      <c r="D30" s="73" t="n"/>
      <c r="E30" s="73" t="n"/>
      <c r="F30" s="75" t="n">
        <v>44</v>
      </c>
      <c r="G30" s="73" t="n"/>
      <c r="H30" s="8" t="inlineStr"/>
    </row>
    <row r="32" ht="39" customHeight="1">
      <c r="B32" s="77" t="inlineStr">
        <is>
          <t>Изначально в графике стояли смены 19.08 и 20.08 (TD) и 31.08 (ND) — получалось 240 ч и не хватало 24 ч. После проверки: 19.08, 20.08 и 31.08 были выходными. 18 смен × 12 ч = 216 ч — ровно столько и оплачено. Недоплаты за август НЕТ.</t>
        </is>
      </c>
    </row>
    <row r="33" ht="26" customHeight="1">
      <c r="B33" s="5" t="inlineStr">
        <is>
          <t>Ночные 132 ч и воскресные 44 ч сошлись с графиком копейка в копейку — это подтверждает и время смен (ND 20:00–08:00, TD 08:00–20:00), и то, что перерыв из оплаты не вычитают.</t>
        </is>
      </c>
    </row>
    <row r="34" ht="52" customHeight="1">
      <c r="B34" s="5" t="inlineStr">
        <is>
          <t>Работодатель заплатил ЩЕДРЕЕ, чем написано в договоре: § 2 Abs. 3 разрешает не платить первые 8 ч переработки в месяц, но в расчётке оплачены все 216 ч (168 + 48), а не 208. Это +216,00 € брутто в твою пользу. Поэтому в «Настройках» «Переработка включена в оклад» стоит 0 — так файл повторяет расчётку. Поставь 8, если захочешь увидеть, сколько работодатель обязан минимум по договору.</t>
        </is>
      </c>
    </row>
    <row r="35" ht="26" customHeight="1">
      <c r="B35" s="5" t="inlineStr">
        <is>
          <t>Почему ночных 132, а не 160: 16 ночных смен × 10 ч = 160 ночных часов, но 28 из них выпали на воскресенье. За них платят воскресные 50 %, а не ночные 25 % — надбавки не складываются. 160 − 28 = 132.</t>
        </is>
      </c>
    </row>
    <row r="37" ht="19" customHeight="1">
      <c r="B37" s="3" t="inlineStr">
        <is>
          <t>ИЮЛЬ 2026 — Abrechnung vom 12.08.2026 (Eintritt 15.07.2026, 17 дней)</t>
        </is>
      </c>
    </row>
    <row r="38">
      <c r="B38" s="20" t="inlineStr">
        <is>
          <t>Строка расчётки</t>
        </is>
      </c>
      <c r="C38" s="20" t="inlineStr">
        <is>
          <t>Часы</t>
        </is>
      </c>
      <c r="D38" s="20" t="inlineStr">
        <is>
          <t>Ставка</t>
        </is>
      </c>
      <c r="E38" s="20" t="inlineStr">
        <is>
          <t>%</t>
        </is>
      </c>
      <c r="F38" s="20" t="inlineStr">
        <is>
          <t>В расчётке</t>
        </is>
      </c>
      <c r="G38" s="20" t="inlineStr">
        <is>
          <t>Проверка</t>
        </is>
      </c>
      <c r="H38" s="20" t="inlineStr">
        <is>
          <t>Комментарий</t>
        </is>
      </c>
    </row>
    <row r="39">
      <c r="B39" s="64" t="inlineStr">
        <is>
          <t>101 Stundenlohn</t>
        </is>
      </c>
      <c r="C39" s="32" t="n">
        <v>46</v>
      </c>
      <c r="D39" s="69" t="n">
        <v>26</v>
      </c>
      <c r="E39" s="29" t="inlineStr"/>
      <c r="F39" s="69" t="n">
        <v>1196</v>
      </c>
      <c r="G39" s="70">
        <f>ROUND($C39*$D39*IF($E39="",1,$E39),2)</f>
        <v/>
      </c>
      <c r="H39" s="8" t="inlineStr">
        <is>
          <t>Ставка в июле была ещё 26,00 € (Teilzeit-Vertrag)</t>
        </is>
      </c>
    </row>
    <row r="40">
      <c r="B40" s="64" t="inlineStr">
        <is>
          <t>103 Überstdgrundvergütung</t>
        </is>
      </c>
      <c r="C40" s="32" t="n">
        <v>74</v>
      </c>
      <c r="D40" s="69" t="n">
        <v>26</v>
      </c>
      <c r="E40" s="29" t="inlineStr"/>
      <c r="F40" s="69" t="n">
        <v>1924</v>
      </c>
      <c r="G40" s="70">
        <f>ROUND($C40*$D40*IF($E40="",1,$E40),2)</f>
        <v/>
      </c>
      <c r="H40" s="8" t="inlineStr"/>
    </row>
    <row r="41">
      <c r="B41" s="64" t="inlineStr">
        <is>
          <t>114 Nacht 25% frei</t>
        </is>
      </c>
      <c r="C41" s="32" t="n">
        <v>42</v>
      </c>
      <c r="D41" s="69" t="n">
        <v>26</v>
      </c>
      <c r="E41" s="71" t="n">
        <v>0.25</v>
      </c>
      <c r="F41" s="69" t="n">
        <v>273</v>
      </c>
      <c r="G41" s="70">
        <f>ROUND($C41*$D41*IF($E41="",1,$E41),2)</f>
        <v/>
      </c>
      <c r="H41" s="8" t="inlineStr"/>
    </row>
    <row r="42">
      <c r="B42" s="64" t="inlineStr">
        <is>
          <t>115 Sonntag 50% frei</t>
        </is>
      </c>
      <c r="C42" s="32" t="n">
        <v>20</v>
      </c>
      <c r="D42" s="69" t="n">
        <v>26</v>
      </c>
      <c r="E42" s="71" t="n">
        <v>0.5</v>
      </c>
      <c r="F42" s="69" t="n">
        <v>260</v>
      </c>
      <c r="G42" s="70">
        <f>ROUND($C42*$D42*IF($E42="",1,$E42),2)</f>
        <v/>
      </c>
      <c r="H42" s="8" t="inlineStr"/>
    </row>
    <row r="43">
      <c r="B43" s="72" t="inlineStr">
        <is>
          <t>Gesamt-Brutto</t>
        </is>
      </c>
      <c r="C43" s="73" t="n"/>
      <c r="D43" s="73" t="n"/>
      <c r="E43" s="73" t="n"/>
      <c r="F43" s="68" t="n">
        <v>3653</v>
      </c>
      <c r="G43" s="74">
        <f>SUM($F$39:$F$42)</f>
        <v/>
      </c>
      <c r="H43" s="8" t="inlineStr"/>
    </row>
    <row r="44">
      <c r="B44" s="64" t="inlineStr">
        <is>
          <t>Lohnsteuer</t>
        </is>
      </c>
      <c r="C44" s="73" t="n"/>
      <c r="D44" s="73" t="n"/>
      <c r="E44" s="73" t="n"/>
      <c r="F44" s="69" t="n">
        <v>-853.91</v>
      </c>
      <c r="G44" s="73" t="n"/>
      <c r="H44" s="8" t="inlineStr">
        <is>
          <t>СТЕРИЛЬНО МНОГО: класс 6, потому что до 31.07 числился ещё и в KRH. Это законно, но переплату вернёт Steuererklärung за 2026 — примерно 800 €</t>
        </is>
      </c>
    </row>
    <row r="45">
      <c r="B45" s="64" t="inlineStr">
        <is>
          <t>Соцвзносы всего</t>
        </is>
      </c>
      <c r="C45" s="73" t="n"/>
      <c r="D45" s="73" t="n"/>
      <c r="E45" s="73" t="n"/>
      <c r="F45" s="69" t="n">
        <v>-661.28</v>
      </c>
      <c r="G45" s="73" t="n"/>
      <c r="H45" s="8" t="inlineStr">
        <is>
          <t>KV 274,40 + RV 290,16 + AV 40,56 + PV 56,16</t>
        </is>
      </c>
    </row>
    <row r="46">
      <c r="B46" s="72" t="inlineStr">
        <is>
          <t>Netto-Verdienst</t>
        </is>
      </c>
      <c r="C46" s="73" t="n"/>
      <c r="D46" s="73" t="n"/>
      <c r="E46" s="73" t="n"/>
      <c r="F46" s="68" t="n">
        <v>2137.81</v>
      </c>
      <c r="G46" s="73" t="n"/>
      <c r="H46" s="8" t="inlineStr"/>
    </row>
    <row r="47">
      <c r="B47" s="64" t="inlineStr">
        <is>
          <t>Abschlag / Vorschuss</t>
        </is>
      </c>
      <c r="C47" s="73" t="n"/>
      <c r="D47" s="73" t="n"/>
      <c r="E47" s="73" t="n"/>
      <c r="F47" s="69" t="n">
        <v>-2000</v>
      </c>
      <c r="G47" s="73" t="n"/>
      <c r="H47" s="8" t="inlineStr"/>
    </row>
    <row r="48">
      <c r="B48" s="72" t="inlineStr">
        <is>
          <t>Auszahlungsbetrag</t>
        </is>
      </c>
      <c r="C48" s="73" t="n"/>
      <c r="D48" s="73" t="n"/>
      <c r="E48" s="73" t="n"/>
      <c r="F48" s="68" t="n">
        <v>137.81</v>
      </c>
      <c r="G48" s="73" t="n"/>
      <c r="H48" s="8" t="inlineStr"/>
    </row>
    <row r="50" ht="19" customHeight="1">
      <c r="B50" s="3" t="inlineStr">
        <is>
          <t>ИЮЛЬ — ПЕРЕСЧЁТ (1. NB), проведён вместе с августом</t>
        </is>
      </c>
    </row>
    <row r="51">
      <c r="B51" s="20" t="inlineStr">
        <is>
          <t>Строка расчётки</t>
        </is>
      </c>
      <c r="C51" s="20" t="inlineStr">
        <is>
          <t>Часы</t>
        </is>
      </c>
      <c r="D51" s="20" t="inlineStr">
        <is>
          <t>Ставка</t>
        </is>
      </c>
      <c r="E51" s="20" t="inlineStr">
        <is>
          <t>%</t>
        </is>
      </c>
      <c r="F51" s="20" t="inlineStr">
        <is>
          <t>В расчётке</t>
        </is>
      </c>
      <c r="G51" s="20" t="inlineStr">
        <is>
          <t>Проверка</t>
        </is>
      </c>
      <c r="H51" s="20" t="inlineStr">
        <is>
          <t>Комментарий</t>
        </is>
      </c>
    </row>
    <row r="52">
      <c r="B52" s="64" t="inlineStr">
        <is>
          <t>N 114 Nacht 25% frei</t>
        </is>
      </c>
      <c r="C52" s="32" t="n">
        <v>18</v>
      </c>
      <c r="D52" s="69" t="n">
        <v>26</v>
      </c>
      <c r="E52" s="71" t="n">
        <v>0.25</v>
      </c>
      <c r="F52" s="69" t="n">
        <v>117</v>
      </c>
      <c r="G52" s="70">
        <f>ROUND($C52*$D52*IF($E52="",1,$E52),2)</f>
        <v/>
      </c>
      <c r="H52" s="8" t="inlineStr">
        <is>
          <t>«N» = Nachberechnung, пересчёт задним числом. Нашли 18 неучтённых ночных часов</t>
        </is>
      </c>
    </row>
    <row r="53">
      <c r="B53" s="64" t="inlineStr">
        <is>
          <t>Новый Gesamt-Brutto июля</t>
        </is>
      </c>
      <c r="C53" s="73" t="n"/>
      <c r="D53" s="73" t="n"/>
      <c r="E53" s="73" t="n"/>
      <c r="F53" s="69" t="n">
        <v>3770</v>
      </c>
      <c r="G53" s="73" t="n"/>
      <c r="H53" s="8" t="inlineStr">
        <is>
          <t>3.653,00 + 117,00</t>
        </is>
      </c>
    </row>
    <row r="54">
      <c r="B54" s="64" t="inlineStr">
        <is>
          <t>Новый Netto июля</t>
        </is>
      </c>
      <c r="C54" s="73" t="n"/>
      <c r="D54" s="73" t="n"/>
      <c r="E54" s="73" t="n"/>
      <c r="F54" s="69" t="n">
        <v>2254.81</v>
      </c>
      <c r="G54" s="73" t="n"/>
      <c r="H54" s="8" t="inlineStr">
        <is>
          <t>2.137,81 + 117,00</t>
        </is>
      </c>
    </row>
    <row r="55">
      <c r="B55" s="64" t="inlineStr">
        <is>
          <t>Уже выплачено</t>
        </is>
      </c>
      <c r="C55" s="73" t="n"/>
      <c r="D55" s="73" t="n"/>
      <c r="E55" s="73" t="n"/>
      <c r="F55" s="69" t="n">
        <v>-2137.81</v>
      </c>
      <c r="G55" s="73" t="n"/>
      <c r="H55" s="8" t="inlineStr">
        <is>
          <t>2.000,00 аванс + 137,81 перевод</t>
        </is>
      </c>
    </row>
    <row r="56">
      <c r="B56" s="72" t="inlineStr">
        <is>
          <t>Доплата, проведённая в августе</t>
        </is>
      </c>
      <c r="C56" s="73" t="n"/>
      <c r="D56" s="73" t="n"/>
      <c r="E56" s="73" t="n"/>
      <c r="F56" s="68" t="n">
        <v>117</v>
      </c>
      <c r="G56" s="73" t="n"/>
      <c r="H56" s="8" t="inlineStr">
        <is>
          <t>Та самая строка «aus NB 07/2026» в августовской расчётке</t>
        </is>
      </c>
    </row>
    <row r="58" ht="52" customHeight="1">
      <c r="B58" s="78" t="inlineStr">
        <is>
          <t>ВАЖНО ПО ИЮЛЮ: пересчитали только НАДБАВКУ за ночь (18 ч × 26 € × 25 %). Сами 18 часов при этом в строку 101/103 не добавили — оплаченных часов как было 120, так и осталось. Если в июльском графике смен было больше, чем на 120 ч, — это надо предъявить. Срок по июлю: 3 месяца с 15.08.2026, то есть до 15.11.2026 (§ 14 Ausschlussfrist).</t>
        </is>
      </c>
    </row>
    <row r="60" ht="19" customHeight="1">
      <c r="B60" s="3" t="inlineStr">
        <is>
          <t>ЧТО ВЫЯСНИЛОСЬ ПО ХОДУ</t>
        </is>
      </c>
    </row>
    <row r="61" ht="26" customHeight="1">
      <c r="B61" s="5" t="inlineStr">
        <is>
          <t>· Einspringzuschlag / Einspringprämie у работодателя НЕТ вообще — подтверждено письменно (Chris, 09/2026). В договоре её тоже нет. Поэтому в «Настройках» премия за Eingesprungen стоит 0,00 €.</t>
        </is>
      </c>
    </row>
    <row r="62" ht="15" customHeight="1">
      <c r="B62" s="5" t="inlineStr">
        <is>
          <t>· Verpflegungszuschuss в расчётке отсутствует. Единственная добавка к нетто — 117,00 €, и это ночные за июль.</t>
        </is>
      </c>
    </row>
    <row r="63" ht="26" customHeight="1">
      <c r="B63" s="5" t="inlineStr">
        <is>
          <t>· Строки Zeitkonto / Arbeitszeitkonto / Übertrag / Saldo в расчётке НЕТ ни одной. Счёт часов, если он ведётся, виден только в Zeitnachweis — его надо запрашивать отдельно.</t>
        </is>
      </c>
    </row>
    <row r="64" ht="26" customHeight="1">
      <c r="B64" s="5" t="inlineStr">
        <is>
          <t>· Arbeitszeitkonto был прописан в СТАРОМ Teilzeit-договоре (§ 4 Abs. 1). В новом Vollzeit-договоре с 01.08.2026 такого пункта НЕТ — значит формального основания складывать часы на счёт больше не существует.</t>
        </is>
      </c>
    </row>
    <row r="65" ht="39" customHeight="1">
      <c r="B65" s="5" t="inlineStr">
        <is>
          <t>· Времена надбавок подтверждены работодателем письменно (Chris, WhatsApp, сентябрь 2026): ночь 20:00–06:00, воскресенье с 00:00, и при совпадении воскресенья с ночью считается ВОСКРЕСЕНЬЕ. Именно так файл и считает. Отсюда те 28 часов в августе, что ушли из ночных (25 %) в воскресные (50 %).</t>
        </is>
      </c>
    </row>
    <row r="66" ht="52" customHeight="1">
      <c r="B66" s="5" t="inlineStr">
        <is>
          <t>· ОТКРЫТО: как оплачивается ПРАЗДНИК. Договор § 3 Abs. 2 даёт +35 % с отгулом (c) или +135 % без отгула (d). Ни одной расчётки с праздником ещё не было. Первый случай — 03.10.2026, Tag der Deutschen Einheit: 12 праздничных часов, разница между вариантами ≈ 324 € брутто. Спросить заранее и проверить строку Feiertagszuschlag в расчётке за октябрь.</t>
        </is>
      </c>
    </row>
    <row r="67" ht="15" customHeight="1">
      <c r="B67" s="5" t="inlineStr">
        <is>
          <t>· Доп. взнос кассы AOK Baden-Württemberg = 2,99 % (не средние 2,9 %). В «Настройках» исправлено.</t>
        </is>
      </c>
    </row>
    <row r="68" ht="15" customHeight="1">
      <c r="B68" s="5" t="inlineStr">
        <is>
          <t>· Доплата бездетным в Pflegeversicherung (0,6 %) не удерживается — ребёнок учтён правильно.</t>
        </is>
      </c>
    </row>
    <row r="69" ht="26" customHeight="1">
      <c r="B69" s="5" t="inlineStr">
        <is>
          <t>· Надбавки провели полностью свободными от взносов, хотя § 1 SvEV освобождает только с базы 25 €/ч. Сейчас это в твою пользу (~110 € в месяц), но уменьшает будущую пенсию на эту же базу.</t>
        </is>
      </c>
    </row>
    <row r="71" ht="26" customHeight="1">
      <c r="B71" s="78" t="inlineStr">
        <is>
          <t>Сроки, которые нельзя пропустить: по июлю — до 15.11.2026, по августу — до 14.12.2026. Разговор в WhatsApp сроки НЕ прерывает, нужна письменная претензия (e-mail достаточно).</t>
        </is>
      </c>
    </row>
  </sheetData>
  <mergeCells count="22">
    <mergeCell ref="B65:H65"/>
    <mergeCell ref="B68:H68"/>
    <mergeCell ref="B64:H64"/>
    <mergeCell ref="B33:H33"/>
    <mergeCell ref="A1:H1"/>
    <mergeCell ref="B37:H37"/>
    <mergeCell ref="B63:H63"/>
    <mergeCell ref="B32:H32"/>
    <mergeCell ref="B50:H50"/>
    <mergeCell ref="B35:H35"/>
    <mergeCell ref="B62:H62"/>
    <mergeCell ref="B3:H3"/>
    <mergeCell ref="B66:H66"/>
    <mergeCell ref="B58:H58"/>
    <mergeCell ref="B71:H71"/>
    <mergeCell ref="B21:H21"/>
    <mergeCell ref="B2:H2"/>
    <mergeCell ref="B60:H60"/>
    <mergeCell ref="B67:H67"/>
    <mergeCell ref="B61:H61"/>
    <mergeCell ref="B69:H69"/>
    <mergeCell ref="B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2026-10-06T16:18:39Z</dcterms:created>
  <dcterms:modified xsi:type="dcterms:W3CDTF">2026-10-06T16:18:39Z</dcterms:modified>
</cp:coreProperties>
</file>